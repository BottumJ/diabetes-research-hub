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herapy Pipeline" sheetId="1" state="visible" r:id="rId1"/>
    <sheet xmlns:r="http://schemas.openxmlformats.org/officeDocument/2006/relationships" name="Datasets &amp; Resources" sheetId="2" state="visible" r:id="rId2"/>
    <sheet xmlns:r="http://schemas.openxmlformats.org/officeDocument/2006/relationships" name="Paper Tracker" sheetId="3" state="visible" r:id="rId3"/>
    <sheet xmlns:r="http://schemas.openxmlformats.org/officeDocument/2006/relationships" name="Research Domains" sheetId="4" state="visible" r:id="rId4"/>
    <sheet xmlns:r="http://schemas.openxmlformats.org/officeDocument/2006/relationships" name="Summary Stats" sheetId="5" state="visible" r:id="rId5"/>
  </sheets>
  <definedNames>
    <definedName name="_xlnm._FilterDatabase" localSheetId="0" hidden="1">'Therapy Pipeline'!$A$1:$K$58</definedName>
    <definedName name="_xlnm._FilterDatabase" localSheetId="1" hidden="1">'Datasets &amp; Resources'!$A$1:$G$23</definedName>
    <definedName name="_xlnm._FilterDatabase" localSheetId="2" hidden="1">'Paper Tracker'!$A$1:$K$26</definedName>
    <definedName name="_xlnm._FilterDatabase" localSheetId="3" hidden="1">'Research Domains'!$A$1:$F$36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b val="1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1F4E79"/>
        <bgColor rgb="FF2D6A4F"/>
      </patternFill>
    </fill>
    <fill>
      <patternFill patternType="solid">
        <fgColor rgb="FFF2F7FB"/>
        <bgColor rgb="FFFFFFFF"/>
      </patternFill>
    </fill>
    <fill>
      <patternFill patternType="solid">
        <fgColor rgb="FF2D6A4F"/>
        <bgColor rgb="FF1F4E79"/>
      </patternFill>
    </fill>
    <fill>
      <patternFill patternType="solid">
        <fgColor rgb="FF7B2D8E"/>
        <bgColor rgb="FF993366"/>
      </patternFill>
    </fill>
    <fill>
      <patternFill patternType="solid">
        <fgColor rgb="FF8B4513"/>
        <bgColor rgb="FF993366"/>
      </patternFill>
    </fill>
    <fill>
      <patternFill patternType="solid">
        <fgColor rgb="FF4A148C"/>
        <bgColor rgb="FF7B2D8E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vertical="top" wrapText="1"/>
    </xf>
    <xf numFmtId="0" fontId="0" fillId="8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2D6A4F"/>
          <bgColor rgb="FF000000"/>
        </patternFill>
      </fill>
    </dxf>
    <dxf>
      <fill>
        <patternFill patternType="solid">
          <fgColor rgb="FF7B2D8E"/>
          <bgColor rgb="FF000000"/>
        </patternFill>
      </fill>
    </dxf>
    <dxf>
      <fill>
        <patternFill patternType="solid">
          <fgColor rgb="FF8B451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7B2D8E"/>
      <rgbColor rgb="FFF2F7FB"/>
      <rgbColor rgb="FFCCFFFF"/>
      <rgbColor rgb="FF4A148C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8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12" min="1" max="1"/>
    <col width="16" customWidth="1" style="12" min="2" max="2"/>
    <col width="28" customWidth="1" style="12" min="3" max="3"/>
    <col width="22" customWidth="1" style="12" min="4" max="4"/>
    <col width="20" customWidth="1" style="12" min="5" max="5"/>
    <col width="12" customWidth="1" style="12" min="6" max="6"/>
    <col width="22" customWidth="1" style="12" min="7" max="7"/>
    <col width="42" customWidth="1" style="12" min="8" max="8"/>
    <col width="14" customWidth="1" style="12" min="9" max="9"/>
    <col width="8" customWidth="1" style="12" min="10" max="10"/>
    <col width="38" customWidth="1" style="12" min="11" max="11"/>
  </cols>
  <sheetData>
    <row r="1" ht="15" customHeight="1" s="13">
      <c r="A1" s="14" t="inlineStr">
        <is>
          <t>Domain</t>
        </is>
      </c>
      <c r="B1" s="14" t="inlineStr">
        <is>
          <t>Category</t>
        </is>
      </c>
      <c r="C1" s="14" t="inlineStr">
        <is>
          <t>Therapy / Study</t>
        </is>
      </c>
      <c r="D1" s="14" t="inlineStr">
        <is>
          <t>Organization</t>
        </is>
      </c>
      <c r="E1" s="14" t="inlineStr">
        <is>
          <t>Mechanism</t>
        </is>
      </c>
      <c r="F1" s="14" t="inlineStr">
        <is>
          <t>Phase</t>
        </is>
      </c>
      <c r="G1" s="14" t="inlineStr">
        <is>
          <t>Target</t>
        </is>
      </c>
      <c r="H1" s="14" t="inlineStr">
        <is>
          <t>Key Result</t>
        </is>
      </c>
      <c r="I1" s="14" t="inlineStr">
        <is>
          <t>Status</t>
        </is>
      </c>
      <c r="J1" s="14" t="inlineStr">
        <is>
          <t>Year</t>
        </is>
      </c>
      <c r="K1" s="14" t="inlineStr">
        <is>
          <t>Source URL</t>
        </is>
      </c>
    </row>
    <row r="2" ht="23.85" customHeight="1" s="13">
      <c r="A2" s="15" t="inlineStr">
        <is>
          <t>T1D</t>
        </is>
      </c>
      <c r="B2" s="15" t="inlineStr">
        <is>
          <t>Cure - Stem Cell</t>
        </is>
      </c>
      <c r="C2" s="15" t="inlineStr">
        <is>
          <t>Zimislecel (VX-880)</t>
        </is>
      </c>
      <c r="D2" s="15" t="inlineStr">
        <is>
          <t>Vertex Pharmaceuticals</t>
        </is>
      </c>
      <c r="E2" s="15" t="inlineStr">
        <is>
          <t>Stem cell islets + immunosuppression</t>
        </is>
      </c>
      <c r="F2" s="15" t="inlineStr">
        <is>
          <t>Phase 3</t>
        </is>
      </c>
      <c r="G2" s="15" t="inlineStr">
        <is>
          <t>Beta cell replacement</t>
        </is>
      </c>
      <c r="H2" s="15" t="inlineStr">
        <is>
          <t>10/12 patients insulin-independent at 1yr; Phase 3 enrolled ~50; VX-880 pivotal dosing complete H1 2025; FDA submission 2026; potential availability 2027</t>
        </is>
      </c>
      <c r="I2" s="15" t="inlineStr">
        <is>
          <t>Active — FDA Submission 2026</t>
        </is>
      </c>
      <c r="J2" s="15" t="n">
        <v>2025</v>
      </c>
      <c r="K2" s="16" t="inlineStr">
        <is>
          <t>https://www.nejm.org/doi/full/10.1056/NEJMoa2506549</t>
        </is>
      </c>
    </row>
    <row r="3" ht="35.05" customHeight="1" s="13">
      <c r="A3" s="17" t="inlineStr">
        <is>
          <t>T1D</t>
        </is>
      </c>
      <c r="B3" s="17" t="inlineStr">
        <is>
          <t>Cure - Stem Cell</t>
        </is>
      </c>
      <c r="C3" s="17" t="inlineStr">
        <is>
          <t>Engineered Islets (SC451)</t>
        </is>
      </c>
      <c r="D3" s="17" t="inlineStr">
        <is>
          <t>Sana Biotechnology</t>
        </is>
      </c>
      <c r="E3" s="17" t="inlineStr">
        <is>
          <t>Gene-edited immune-evasive islets</t>
        </is>
      </c>
      <c r="F3" s="17" t="inlineStr">
        <is>
          <t>Phase 1</t>
        </is>
      </c>
      <c r="G3" s="17" t="inlineStr">
        <is>
          <t>Islets without immunosuppression</t>
        </is>
      </c>
      <c r="H3" s="17" t="inlineStr">
        <is>
          <t>Insulin production at 6 months without immunosuppression</t>
        </is>
      </c>
      <c r="I3" s="17" t="inlineStr">
        <is>
          <t>Active</t>
        </is>
      </c>
      <c r="J3" s="17" t="n">
        <v>2025</v>
      </c>
      <c r="K3" s="18" t="inlineStr">
        <is>
          <t>https://www.breakthrought1d.org/news-and-updates/2025-top-t1d-advances-full-speed-ahead/</t>
        </is>
      </c>
    </row>
    <row r="4" ht="23.85" customHeight="1" s="13">
      <c r="A4" s="15" t="inlineStr">
        <is>
          <t>T1D</t>
        </is>
      </c>
      <c r="B4" s="15" t="inlineStr">
        <is>
          <t>Cure - Stem Cell</t>
        </is>
      </c>
      <c r="C4" s="15" t="inlineStr">
        <is>
          <t>CRISPR-Edited Islets</t>
        </is>
      </c>
      <c r="D4" s="15" t="inlineStr">
        <is>
          <t>Sana / Uppsala University</t>
        </is>
      </c>
      <c r="E4" s="15" t="inlineStr">
        <is>
          <t>CRISPR immune evasion</t>
        </is>
      </c>
      <c r="F4" s="15" t="inlineStr">
        <is>
          <t>Phase 1</t>
        </is>
      </c>
      <c r="G4" s="15" t="inlineStr">
        <is>
          <t>Immune-evasive cells</t>
        </is>
      </c>
      <c r="H4" s="15" t="inlineStr">
        <is>
          <t>Patient producing insulin without immunosuppressants</t>
        </is>
      </c>
      <c r="I4" s="15" t="inlineStr">
        <is>
          <t>Active</t>
        </is>
      </c>
      <c r="J4" s="15" t="n">
        <v>2025</v>
      </c>
      <c r="K4" s="16" t="inlineStr">
        <is>
          <t>https://diatribe.org/diabetes-research/state-cure-cell-therapy-breakthroughs</t>
        </is>
      </c>
    </row>
    <row r="5" ht="23.85" customHeight="1" s="13">
      <c r="A5" s="17" t="inlineStr">
        <is>
          <t>T1D</t>
        </is>
      </c>
      <c r="B5" s="17" t="inlineStr">
        <is>
          <t>Cure - Stem Cell</t>
        </is>
      </c>
      <c r="C5" s="17" t="inlineStr">
        <is>
          <t>iPSC-Derived Autologous Islets</t>
        </is>
      </c>
      <c r="D5" s="17" t="inlineStr">
        <is>
          <t>Chinese Research Team</t>
        </is>
      </c>
      <c r="E5" s="17" t="inlineStr">
        <is>
          <t>Patient's own iPSC reprogrammed</t>
        </is>
      </c>
      <c r="F5" s="17" t="inlineStr">
        <is>
          <t>Case Study</t>
        </is>
      </c>
      <c r="G5" s="17" t="inlineStr">
        <is>
          <t>Autologous beta cells</t>
        </is>
      </c>
      <c r="H5" s="17" t="inlineStr">
        <is>
          <t>Insulin independence with patient's own cells</t>
        </is>
      </c>
      <c r="I5" s="17" t="inlineStr">
        <is>
          <t>Monitoring</t>
        </is>
      </c>
      <c r="J5" s="17" t="n">
        <v>2025</v>
      </c>
      <c r="K5" s="18" t="inlineStr">
        <is>
          <t>https://pmc.ncbi.nlm.nih.gov/articles/PMC12305139/</t>
        </is>
      </c>
    </row>
    <row r="6" ht="23.85" customHeight="1" s="13">
      <c r="A6" s="15" t="inlineStr">
        <is>
          <t>T1D</t>
        </is>
      </c>
      <c r="B6" s="15" t="inlineStr">
        <is>
          <t>Cure - Stem Cell</t>
        </is>
      </c>
      <c r="C6" s="15" t="inlineStr">
        <is>
          <t>Sernova Cell Pouch</t>
        </is>
      </c>
      <c r="D6" s="15" t="inlineStr">
        <is>
          <t>Sernova Corp</t>
        </is>
      </c>
      <c r="E6" s="15" t="inlineStr">
        <is>
          <t>Implantable device for islets</t>
        </is>
      </c>
      <c r="F6" s="15" t="inlineStr">
        <is>
          <t>Phase 1/2</t>
        </is>
      </c>
      <c r="G6" s="15" t="inlineStr">
        <is>
          <t>Islet engraftment device</t>
        </is>
      </c>
      <c r="H6" s="15" t="inlineStr">
        <is>
          <t>Some patients insulin-independent &gt;5 years</t>
        </is>
      </c>
      <c r="I6" s="15" t="inlineStr">
        <is>
          <t>Active</t>
        </is>
      </c>
      <c r="J6" s="15" t="n">
        <v>2025</v>
      </c>
      <c r="K6" s="16" t="inlineStr">
        <is>
          <t>https://tcoyd.org/2025/11/2025-diabetes-highlights/</t>
        </is>
      </c>
    </row>
    <row r="7" ht="23.85" customHeight="1" s="13">
      <c r="A7" s="17" t="inlineStr">
        <is>
          <t>T1D</t>
        </is>
      </c>
      <c r="B7" s="17" t="inlineStr">
        <is>
          <t>Cure - Stem Cell</t>
        </is>
      </c>
      <c r="C7" s="17" t="inlineStr">
        <is>
          <t>3D Pancreatic Organoids</t>
        </is>
      </c>
      <c r="D7" s="17" t="inlineStr">
        <is>
          <t>Multiple Groups</t>
        </is>
      </c>
      <c r="E7" s="17" t="inlineStr">
        <is>
          <t>Vascularized 3D organoid models</t>
        </is>
      </c>
      <c r="F7" s="17" t="inlineStr">
        <is>
          <t>Research</t>
        </is>
      </c>
      <c r="G7" s="17" t="inlineStr">
        <is>
          <t>Scalable beta cell platform</t>
        </is>
      </c>
      <c r="H7" s="17" t="inlineStr">
        <is>
          <t>Enhanced maturation and survival in organoid models</t>
        </is>
      </c>
      <c r="I7" s="17" t="inlineStr">
        <is>
          <t>Research</t>
        </is>
      </c>
      <c r="J7" s="17" t="n">
        <v>2025</v>
      </c>
      <c r="K7" s="18" t="inlineStr">
        <is>
          <t>https://www.mdpi.com/1422-0067/27/3/1280</t>
        </is>
      </c>
    </row>
    <row r="8" ht="23.85" customHeight="1" s="13">
      <c r="A8" s="15" t="inlineStr">
        <is>
          <t>T1D</t>
        </is>
      </c>
      <c r="B8" s="15" t="inlineStr">
        <is>
          <t>Cure - Stem Cell</t>
        </is>
      </c>
      <c r="C8" s="15" t="inlineStr">
        <is>
          <t>Autologous MSC-Derived Islets</t>
        </is>
      </c>
      <c r="D8" s="15" t="inlineStr">
        <is>
          <t>Clinical Trial (Youth)</t>
        </is>
      </c>
      <c r="E8" s="15" t="inlineStr">
        <is>
          <t>Adipose MSC to insulin cells</t>
        </is>
      </c>
      <c r="F8" s="15" t="inlineStr">
        <is>
          <t>Phase 1</t>
        </is>
      </c>
      <c r="G8" s="15" t="inlineStr">
        <is>
          <t>Youth T1D transplant</t>
        </is>
      </c>
      <c r="H8" s="15" t="inlineStr">
        <is>
          <t>Clinical trial initiated early 2025 in youth</t>
        </is>
      </c>
      <c r="I8" s="15" t="inlineStr">
        <is>
          <t>Enrolling</t>
        </is>
      </c>
      <c r="J8" s="15" t="n">
        <v>2025</v>
      </c>
      <c r="K8" s="16" t="inlineStr">
        <is>
          <t>https://link.springer.com/chapter/10.1007/978-981-95-3612-2_9</t>
        </is>
      </c>
    </row>
    <row r="9" ht="23.85" customHeight="1" s="13">
      <c r="A9" s="17" t="inlineStr">
        <is>
          <t>T1D</t>
        </is>
      </c>
      <c r="B9" s="17" t="inlineStr">
        <is>
          <t>Cure - Immune</t>
        </is>
      </c>
      <c r="C9" s="17" t="inlineStr">
        <is>
          <t>Immune Bodyguard CAR-Tregs</t>
        </is>
      </c>
      <c r="D9" s="17" t="inlineStr">
        <is>
          <t>MUSC / Breakthrough T1D</t>
        </is>
      </c>
      <c r="E9" s="17" t="inlineStr">
        <is>
          <t>CAR-Treg immune protection</t>
        </is>
      </c>
      <c r="F9" s="17" t="inlineStr">
        <is>
          <t>Preclinical</t>
        </is>
      </c>
      <c r="G9" s="17" t="inlineStr">
        <is>
          <t>Autoimmune protection</t>
        </is>
      </c>
      <c r="H9" s="17" t="inlineStr">
        <is>
          <t>CAR-Tregs protect transplanted beta cells from immune attack</t>
        </is>
      </c>
      <c r="I9" s="17" t="inlineStr">
        <is>
          <t>Active</t>
        </is>
      </c>
      <c r="J9" s="17" t="n">
        <v>2026</v>
      </c>
      <c r="K9" s="18" t="inlineStr">
        <is>
          <t>https://www.sciencedaily.com/releases/2026/03/260302030648.htm</t>
        </is>
      </c>
    </row>
    <row r="10" ht="23.85" customHeight="1" s="13">
      <c r="A10" s="15" t="inlineStr">
        <is>
          <t>T1D</t>
        </is>
      </c>
      <c r="B10" s="15" t="inlineStr">
        <is>
          <t>Cure - Immune</t>
        </is>
      </c>
      <c r="C10" s="15" t="inlineStr">
        <is>
          <t>Hybrid Immune System</t>
        </is>
      </c>
      <c r="D10" s="15" t="inlineStr">
        <is>
          <t>Stanford Medicine</t>
        </is>
      </c>
      <c r="E10" s="15" t="inlineStr">
        <is>
          <t>Blood stem cell + islet co-transplant</t>
        </is>
      </c>
      <c r="F10" s="15" t="inlineStr">
        <is>
          <t>Preclinical</t>
        </is>
      </c>
      <c r="G10" s="15" t="inlineStr">
        <is>
          <t>Immune tolerance</t>
        </is>
      </c>
      <c r="H10" s="15" t="inlineStr">
        <is>
          <t>19/19 mice protected; 9/9 with established T1D cured</t>
        </is>
      </c>
      <c r="I10" s="15" t="inlineStr">
        <is>
          <t>Active</t>
        </is>
      </c>
      <c r="J10" s="15" t="n">
        <v>2025</v>
      </c>
      <c r="K10" s="16" t="inlineStr">
        <is>
          <t>https://www.sciencedaily.com/releases/2025/11/251126095018.htm</t>
        </is>
      </c>
    </row>
    <row r="11" ht="35.05" customHeight="1" s="13">
      <c r="A11" s="17" t="inlineStr">
        <is>
          <t>T1D</t>
        </is>
      </c>
      <c r="B11" s="17" t="inlineStr">
        <is>
          <t>Cure - Immune</t>
        </is>
      </c>
      <c r="C11" s="17" t="inlineStr">
        <is>
          <t>ABA-201 TCR-Tregs</t>
        </is>
      </c>
      <c r="D11" s="17" t="inlineStr">
        <is>
          <t>Abata Therapeutics</t>
        </is>
      </c>
      <c r="E11" s="17" t="inlineStr">
        <is>
          <t>T1D-specific TCR-engineered Tregs</t>
        </is>
      </c>
      <c r="F11" s="17" t="inlineStr">
        <is>
          <t>Phase 1</t>
        </is>
      </c>
      <c r="G11" s="17" t="inlineStr">
        <is>
          <t>Targeted immune modulation</t>
        </is>
      </c>
      <c r="H11" s="17" t="inlineStr">
        <is>
          <t>T1D-specific Treg therapy; trials initiated 2025</t>
        </is>
      </c>
      <c r="I11" s="17" t="inlineStr">
        <is>
          <t>Active</t>
        </is>
      </c>
      <c r="J11" s="17" t="n">
        <v>2025</v>
      </c>
      <c r="K11" s="18" t="inlineStr">
        <is>
          <t>https://www.frontiersin.org/journals/endocrinology/articles/10.3389/fendo.2025.1740102/full</t>
        </is>
      </c>
    </row>
    <row r="12" ht="23.85" customHeight="1" s="13">
      <c r="A12" s="15" t="inlineStr">
        <is>
          <t>T1D</t>
        </is>
      </c>
      <c r="B12" s="15" t="inlineStr">
        <is>
          <t>Cure - Gene Therapy</t>
        </is>
      </c>
      <c r="C12" s="15" t="inlineStr">
        <is>
          <t>KRIYA-839</t>
        </is>
      </c>
      <c r="D12" s="15" t="inlineStr">
        <is>
          <t>Kriya Therapeutics</t>
        </is>
      </c>
      <c r="E12" s="15" t="inlineStr">
        <is>
          <t>Insulin + glucokinase gene delivery</t>
        </is>
      </c>
      <c r="F12" s="15" t="inlineStr">
        <is>
          <t>Preclinical</t>
        </is>
      </c>
      <c r="G12" s="15" t="inlineStr">
        <is>
          <t>Gene-based insulin production</t>
        </is>
      </c>
      <c r="H12" s="15" t="inlineStr">
        <is>
          <t>Delivers insulin + glucokinase genes to muscle tissue</t>
        </is>
      </c>
      <c r="I12" s="15" t="inlineStr">
        <is>
          <t>Early Stage</t>
        </is>
      </c>
      <c r="J12" s="15" t="n">
        <v>2025</v>
      </c>
      <c r="K12" s="16" t="inlineStr">
        <is>
          <t>https://tcoyd.org/2025/12/diabetes-predictions-2026/</t>
        </is>
      </c>
    </row>
    <row r="13" ht="35.05" customHeight="1" s="13">
      <c r="A13" s="17" t="inlineStr">
        <is>
          <t>T1D</t>
        </is>
      </c>
      <c r="B13" s="17" t="inlineStr">
        <is>
          <t>Prevention</t>
        </is>
      </c>
      <c r="C13" s="17" t="inlineStr">
        <is>
          <t>Tzield (Teplizumab)</t>
        </is>
      </c>
      <c r="D13" s="17" t="inlineStr">
        <is>
          <t>Provention Bio / Sanofi</t>
        </is>
      </c>
      <c r="E13" s="17" t="inlineStr">
        <is>
          <t>Anti-CD3 immunotherapy</t>
        </is>
      </c>
      <c r="F13" s="17" t="inlineStr">
        <is>
          <t>Phase 3 / Approved</t>
        </is>
      </c>
      <c r="G13" s="17" t="inlineStr">
        <is>
          <t>Delay T1D onset</t>
        </is>
      </c>
      <c r="H13" s="17" t="inlineStr">
        <is>
          <t>Approved 2022; real-world: 17% progressed at 1yr (n=42); Italian compassionate use feasible (n=3); Sanofi Phase 3 NCT07088068 recruiting; PETITE trial in &lt;8yr</t>
        </is>
      </c>
      <c r="I13" s="17" t="inlineStr">
        <is>
          <t>Approved/Expanding/Phase 3</t>
        </is>
      </c>
      <c r="J13" s="17" t="n">
        <v>2025</v>
      </c>
      <c r="K13" s="18" t="inlineStr">
        <is>
          <t>https://www.type1strong.org/blog-post/top-type-1-diabetes-research-breakthroughs-to-watch-in-2025</t>
        </is>
      </c>
    </row>
    <row r="14" ht="35.05" customHeight="1" s="13">
      <c r="A14" s="15" t="inlineStr">
        <is>
          <t>T1D</t>
        </is>
      </c>
      <c r="B14" s="15" t="inlineStr">
        <is>
          <t>Prevention</t>
        </is>
      </c>
      <c r="C14" s="15" t="inlineStr">
        <is>
          <t>Baricitinib (BARICADE)</t>
        </is>
      </c>
      <c r="D14" s="15" t="inlineStr">
        <is>
          <t>Eli Lilly</t>
        </is>
      </c>
      <c r="E14" s="15" t="inlineStr">
        <is>
          <t>JAK inhibitor</t>
        </is>
      </c>
      <c r="F14" s="15" t="inlineStr">
        <is>
          <t>Phase 3</t>
        </is>
      </c>
      <c r="G14" s="15" t="inlineStr">
        <is>
          <t>Preserve beta cells</t>
        </is>
      </c>
      <c r="H14" s="15" t="inlineStr">
        <is>
          <t>JAK inhibitor; 2 Phase 3 trials now RECRUITING: NCT07222137 (adults) + NCT07222332 (children/adolescents)</t>
        </is>
      </c>
      <c r="I14" s="15" t="inlineStr">
        <is>
          <t>Recruiting</t>
        </is>
      </c>
      <c r="J14" s="15" t="n">
        <v>2026</v>
      </c>
      <c r="K14" s="16" t="inlineStr">
        <is>
          <t>https://www.breakthrought1d.org/news-and-updates/2025-top-t1d-advances-full-speed-ahead/</t>
        </is>
      </c>
    </row>
    <row r="15" ht="35.05" customHeight="1" s="13">
      <c r="A15" s="17" t="inlineStr">
        <is>
          <t>T1D</t>
        </is>
      </c>
      <c r="B15" s="17" t="inlineStr">
        <is>
          <t>Prevention</t>
        </is>
      </c>
      <c r="C15" s="17" t="inlineStr">
        <is>
          <t>T1D Screening Programs</t>
        </is>
      </c>
      <c r="D15" s="17" t="inlineStr">
        <is>
          <t>TrialNet / ADA</t>
        </is>
      </c>
      <c r="E15" s="17" t="inlineStr">
        <is>
          <t>Autoantibody screening</t>
        </is>
      </c>
      <c r="F15" s="17" t="inlineStr">
        <is>
          <t>Clinical</t>
        </is>
      </c>
      <c r="G15" s="17" t="inlineStr">
        <is>
          <t>Early detection Stage 1-2</t>
        </is>
      </c>
      <c r="H15" s="17" t="inlineStr">
        <is>
          <t>Population screening identifying pre-symptomatic T1D</t>
        </is>
      </c>
      <c r="I15" s="17" t="inlineStr">
        <is>
          <t>Active</t>
        </is>
      </c>
      <c r="J15" s="17" t="n">
        <v>2025</v>
      </c>
      <c r="K15" s="18" t="inlineStr">
        <is>
          <t>https://diabetesjournals.org/care/article/49/Supplement_1/S27/163926/2-Diagnosis-and-Classification-of-Diabetes</t>
        </is>
      </c>
    </row>
    <row r="16" ht="23.85" customHeight="1" s="13">
      <c r="A16" s="15" t="inlineStr">
        <is>
          <t>T1D</t>
        </is>
      </c>
      <c r="B16" s="15" t="inlineStr">
        <is>
          <t>Treatment</t>
        </is>
      </c>
      <c r="C16" s="15" t="inlineStr">
        <is>
          <t>Tegoprubart (AT-1501)</t>
        </is>
      </c>
      <c r="D16" s="15" t="inlineStr">
        <is>
          <t>Eledon Pharmaceuticals</t>
        </is>
      </c>
      <c r="E16" s="15" t="inlineStr">
        <is>
          <t>Anti-CD40L antibody</t>
        </is>
      </c>
      <c r="F16" s="15" t="inlineStr">
        <is>
          <t>Phase 2</t>
        </is>
      </c>
      <c r="G16" s="15" t="inlineStr">
        <is>
          <t>Islet transplant support</t>
        </is>
      </c>
      <c r="H16" s="15" t="inlineStr">
        <is>
          <t>6/6 subjects achieved insulin independence</t>
        </is>
      </c>
      <c r="I16" s="15" t="inlineStr">
        <is>
          <t>Active</t>
        </is>
      </c>
      <c r="J16" s="15" t="n">
        <v>2025</v>
      </c>
      <c r="K16" s="16" t="inlineStr">
        <is>
          <t>https://breakthrought1d.org.uk/news/2025-a-year-of-breakthroughs-for-type-1-diabetes/</t>
        </is>
      </c>
    </row>
    <row r="17" ht="23.85" customHeight="1" s="13">
      <c r="A17" s="17" t="inlineStr">
        <is>
          <t>T1D</t>
        </is>
      </c>
      <c r="B17" s="17" t="inlineStr">
        <is>
          <t>Technology</t>
        </is>
      </c>
      <c r="C17" s="17" t="inlineStr">
        <is>
          <t>Inreda Bihormonal AP</t>
        </is>
      </c>
      <c r="D17" s="17" t="inlineStr">
        <is>
          <t>Inreda Diabetic</t>
        </is>
      </c>
      <c r="E17" s="17" t="inlineStr">
        <is>
          <t>Insulin + glucagon closed loop</t>
        </is>
      </c>
      <c r="F17" s="17" t="inlineStr">
        <is>
          <t>Research</t>
        </is>
      </c>
      <c r="G17" s="17" t="inlineStr">
        <is>
          <t>Fully automated pancreas</t>
        </is>
      </c>
      <c r="H17" s="17" t="inlineStr">
        <is>
          <t>80% TIR vs 60% standard pump; no user input needed</t>
        </is>
      </c>
      <c r="I17" s="17" t="inlineStr">
        <is>
          <t>Testing</t>
        </is>
      </c>
      <c r="J17" s="17" t="n">
        <v>2025</v>
      </c>
      <c r="K17" s="18" t="inlineStr">
        <is>
          <t>https://www.ondrugdelivery.com/closing-the-loop-the-latest-on-artificial-pancreas-systems/</t>
        </is>
      </c>
    </row>
    <row r="18" ht="35.05" customHeight="1" s="13">
      <c r="A18" s="15" t="inlineStr">
        <is>
          <t>T1D</t>
        </is>
      </c>
      <c r="B18" s="15" t="inlineStr">
        <is>
          <t>Technology</t>
        </is>
      </c>
      <c r="C18" s="15" t="inlineStr">
        <is>
          <t>Eversense-3 Implantable CGM</t>
        </is>
      </c>
      <c r="D18" s="15" t="inlineStr">
        <is>
          <t>Senseonics</t>
        </is>
      </c>
      <c r="E18" s="15" t="inlineStr">
        <is>
          <t>6-month implantable sensor</t>
        </is>
      </c>
      <c r="F18" s="15" t="inlineStr">
        <is>
          <t>Approved</t>
        </is>
      </c>
      <c r="G18" s="15" t="inlineStr">
        <is>
          <t>Long-term CGM</t>
        </is>
      </c>
      <c r="H18" s="15" t="inlineStr">
        <is>
          <t>6-month wear; FDA approved in US and Europe</t>
        </is>
      </c>
      <c r="I18" s="15" t="inlineStr">
        <is>
          <t>Approved</t>
        </is>
      </c>
      <c r="J18" s="15" t="n">
        <v>2025</v>
      </c>
      <c r="K18" s="16" t="inlineStr">
        <is>
          <t>https://www.byramhealthcare.com/blogs/diabetes-technology-updates-revolutionizing-care-in-2025</t>
        </is>
      </c>
    </row>
    <row r="19" ht="23.85" customHeight="1" s="13">
      <c r="A19" s="17" t="inlineStr">
        <is>
          <t>T1D</t>
        </is>
      </c>
      <c r="B19" s="17" t="inlineStr">
        <is>
          <t>Technology</t>
        </is>
      </c>
      <c r="C19" s="17" t="inlineStr">
        <is>
          <t>Deep RL Closed-Loop Controller</t>
        </is>
      </c>
      <c r="D19" s="17" t="inlineStr">
        <is>
          <t>Academic Research</t>
        </is>
      </c>
      <c r="E19" s="17" t="inlineStr">
        <is>
          <t>Deep reinforcement learning</t>
        </is>
      </c>
      <c r="F19" s="17" t="inlineStr">
        <is>
          <t>Research</t>
        </is>
      </c>
      <c r="G19" s="17" t="inlineStr">
        <is>
          <t>AI-driven insulin dosing</t>
        </is>
      </c>
      <c r="H19" s="17" t="inlineStr">
        <is>
          <t>87.45% TIR median; lower hypoglycemia than baselines</t>
        </is>
      </c>
      <c r="I19" s="17" t="inlineStr">
        <is>
          <t>Research</t>
        </is>
      </c>
      <c r="J19" s="17" t="n">
        <v>2025</v>
      </c>
      <c r="K19" s="18" t="inlineStr">
        <is>
          <t>https://journals.plos.org/plosone/article?id=10.1371/journal.pone.0317662</t>
        </is>
      </c>
    </row>
    <row r="20" ht="35.05" customHeight="1" s="13">
      <c r="A20" s="15" t="inlineStr">
        <is>
          <t>T1D</t>
        </is>
      </c>
      <c r="B20" s="15" t="inlineStr">
        <is>
          <t>Technology</t>
        </is>
      </c>
      <c r="C20" s="15" t="inlineStr">
        <is>
          <t>Next-Gen Hybrid Closed Loop</t>
        </is>
      </c>
      <c r="D20" s="15" t="inlineStr">
        <is>
          <t>Omnipod 5 / CamAPS FX</t>
        </is>
      </c>
      <c r="E20" s="15" t="inlineStr">
        <is>
          <t>Tubeless pump + CGM</t>
        </is>
      </c>
      <c r="F20" s="15" t="inlineStr">
        <is>
          <t>Approved</t>
        </is>
      </c>
      <c r="G20" s="15" t="inlineStr">
        <is>
          <t>Simplified management</t>
        </is>
      </c>
      <c r="H20" s="15" t="inlineStr">
        <is>
          <t>Tubeless automated insulin delivery systems</t>
        </is>
      </c>
      <c r="I20" s="15" t="inlineStr">
        <is>
          <t>Approved</t>
        </is>
      </c>
      <c r="J20" s="15" t="n">
        <v>2025</v>
      </c>
      <c r="K20" s="16" t="inlineStr">
        <is>
          <t>https://www.byramhealthcare.com/blogs/diabetes-technology-updates-revolutionizing-care-in-2025</t>
        </is>
      </c>
    </row>
    <row r="21" ht="35.05" customHeight="1" s="13">
      <c r="A21" s="17" t="inlineStr">
        <is>
          <t>T2D</t>
        </is>
      </c>
      <c r="B21" s="17" t="inlineStr">
        <is>
          <t>Treatment - GLP-1</t>
        </is>
      </c>
      <c r="C21" s="17" t="inlineStr">
        <is>
          <t>Retatrutide (Triple G)</t>
        </is>
      </c>
      <c r="D21" s="17" t="inlineStr">
        <is>
          <t>Eli Lilly</t>
        </is>
      </c>
      <c r="E21" s="17" t="inlineStr">
        <is>
          <t>GLP-1/GIP/Glucagon triple agonist</t>
        </is>
      </c>
      <c r="F21" s="17" t="inlineStr">
        <is>
          <t>Phase 3</t>
        </is>
      </c>
      <c r="G21" s="17" t="inlineStr">
        <is>
          <t>Weight + glucose</t>
        </is>
      </c>
      <c r="H21" s="17" t="inlineStr">
        <is>
          <t>Triple agonist; TRIUMPH-4: 28.7% weight loss at 68wk; Phase 3 NCT06296603 and NCT06259722 active, not recruiting</t>
        </is>
      </c>
      <c r="I21" s="17" t="inlineStr">
        <is>
          <t>Phase 3 Active</t>
        </is>
      </c>
      <c r="J21" s="17" t="n">
        <v>2025</v>
      </c>
      <c r="K21" s="18" t="inlineStr">
        <is>
          <t>https://www.diabetesincontrol.com/top-7-breakthroughs-in-type-2-diabetes-treatment-for-2025/</t>
        </is>
      </c>
    </row>
    <row r="22" ht="35.05" customHeight="1" s="13">
      <c r="A22" s="15" t="inlineStr">
        <is>
          <t>T2D</t>
        </is>
      </c>
      <c r="B22" s="15" t="inlineStr">
        <is>
          <t>Treatment - GLP-1</t>
        </is>
      </c>
      <c r="C22" s="15" t="inlineStr">
        <is>
          <t>Orforglipron (Foundayo)</t>
        </is>
      </c>
      <c r="D22" s="15" t="inlineStr">
        <is>
          <t>Eli Lilly</t>
        </is>
      </c>
      <c r="E22" s="15" t="inlineStr">
        <is>
          <t>Oral non-peptide GLP-1 receptor agonist</t>
        </is>
      </c>
      <c r="F22" s="15" t="inlineStr">
        <is>
          <t>FDA Approved (Apr 1, 2026)</t>
        </is>
      </c>
      <c r="G22" s="15" t="inlineStr">
        <is>
          <t>Glycemic control / weight management</t>
        </is>
      </c>
      <c r="H22" s="15" t="inlineStr">
        <is>
          <t>First oral small-molecule GLP-1 RA. Superior to oral semaglutide in ACHIEVE-3 (Lancet Feb 2026). FDA approved Apr 1, 2026 under CNPV ~294 days ahead of PDUFA; no food/water/timing restrictions. T2D indication in development.</t>
        </is>
      </c>
      <c r="I22" s="15" t="inlineStr">
        <is>
          <t>FDA Approved</t>
        </is>
      </c>
      <c r="J22" s="15" t="n">
        <v>2026</v>
      </c>
      <c r="K22" s="16" t="inlineStr">
        <is>
          <t>https://investor.lilly.com/news-releases/news-release-details/fda-approves-lillys-foundayotm-orforglipron-only-glp-1-pill</t>
        </is>
      </c>
    </row>
    <row r="23" ht="23.85" customHeight="1" s="13">
      <c r="A23" s="17" t="inlineStr">
        <is>
          <t>T2D</t>
        </is>
      </c>
      <c r="B23" s="17" t="inlineStr">
        <is>
          <t>Treatment - GLP-1</t>
        </is>
      </c>
      <c r="C23" s="17" t="inlineStr">
        <is>
          <t>CagriSema</t>
        </is>
      </c>
      <c r="D23" s="17" t="inlineStr">
        <is>
          <t>Novo Nordisk</t>
        </is>
      </c>
      <c r="E23" s="17" t="inlineStr">
        <is>
          <t>Semaglutide + cagrilintide</t>
        </is>
      </c>
      <c r="F23" s="17" t="inlineStr">
        <is>
          <t>Phase 3</t>
        </is>
      </c>
      <c r="G23" s="17" t="inlineStr">
        <is>
          <t>Dual-hormone therapy</t>
        </is>
      </c>
      <c r="H23" s="17" t="inlineStr">
        <is>
          <t>Semaglutide+cagrilintide; REDEFINE-1: 22.7% weight loss; REDEFINE-2: 15.7% in T2D+obesity; NDA filed Dec 2025</t>
        </is>
      </c>
      <c r="I23" s="17" t="inlineStr">
        <is>
          <t>NDA Under Review</t>
        </is>
      </c>
      <c r="J23" s="17" t="n">
        <v>2026</v>
      </c>
      <c r="K23" s="18" t="inlineStr">
        <is>
          <t>https://tcoyd.org/2025/12/diabetes-predictions-2026/</t>
        </is>
      </c>
    </row>
    <row r="24" ht="23.85" customHeight="1" s="13">
      <c r="A24" s="15" t="inlineStr">
        <is>
          <t>T2D</t>
        </is>
      </c>
      <c r="B24" s="15" t="inlineStr">
        <is>
          <t>Treatment - GLP-1</t>
        </is>
      </c>
      <c r="C24" s="15" t="inlineStr">
        <is>
          <t>Tirzepatide for T1D</t>
        </is>
      </c>
      <c r="D24" s="15" t="inlineStr">
        <is>
          <t>Eli Lilly</t>
        </is>
      </c>
      <c r="E24" s="15" t="inlineStr">
        <is>
          <t>GLP-1/GIP dual agonist</t>
        </is>
      </c>
      <c r="F24" s="15" t="inlineStr">
        <is>
          <t>Phase 3</t>
        </is>
      </c>
      <c r="G24" s="15" t="inlineStr">
        <is>
          <t>T1D + obesity</t>
        </is>
      </c>
      <c r="H24" s="15" t="inlineStr">
        <is>
          <t>SURPASS-T1D-1 and -2 enrolling</t>
        </is>
      </c>
      <c r="I24" s="15" t="inlineStr">
        <is>
          <t>Enrolling</t>
        </is>
      </c>
      <c r="J24" s="15" t="n">
        <v>2025</v>
      </c>
      <c r="K24" s="16" t="inlineStr">
        <is>
          <t>https://tcoyd.org/2025/12/diabetes-predictions-2026/</t>
        </is>
      </c>
    </row>
    <row r="25" ht="23.85" customHeight="1" s="13">
      <c r="A25" s="17" t="inlineStr">
        <is>
          <t>T2D</t>
        </is>
      </c>
      <c r="B25" s="17" t="inlineStr">
        <is>
          <t>Treatment - Novel</t>
        </is>
      </c>
      <c r="C25" s="17" t="inlineStr">
        <is>
          <t>Dorzagliatin</t>
        </is>
      </c>
      <c r="D25" s="17" t="inlineStr">
        <is>
          <t>Hua Medicine</t>
        </is>
      </c>
      <c r="E25" s="17" t="inlineStr">
        <is>
          <t>Glucokinase activator</t>
        </is>
      </c>
      <c r="F25" s="17" t="inlineStr">
        <is>
          <t>Phase 1b (US)</t>
        </is>
      </c>
      <c r="G25" s="17" t="inlineStr">
        <is>
          <t>Glucose sensor repair</t>
        </is>
      </c>
      <c r="H25" s="17" t="inlineStr">
        <is>
          <t>First-in-class; improved beta cell function + reduced IR</t>
        </is>
      </c>
      <c r="I25" s="17" t="inlineStr">
        <is>
          <t>Active</t>
        </is>
      </c>
      <c r="J25" s="17" t="n">
        <v>2025</v>
      </c>
      <c r="K25" s="18" t="inlineStr">
        <is>
          <t>https://www.nature.com/articles/d43747-025-00071-9</t>
        </is>
      </c>
    </row>
    <row r="26" ht="23.85" customHeight="1" s="13">
      <c r="A26" s="15" t="inlineStr">
        <is>
          <t>T2D</t>
        </is>
      </c>
      <c r="B26" s="15" t="inlineStr">
        <is>
          <t>Treatment - Novel</t>
        </is>
      </c>
      <c r="C26" s="15" t="inlineStr">
        <is>
          <t>Insulin Icodec</t>
        </is>
      </c>
      <c r="D26" s="15" t="inlineStr">
        <is>
          <t>Novo Nordisk</t>
        </is>
      </c>
      <c r="E26" s="15" t="inlineStr">
        <is>
          <t>Once-weekly basal insulin</t>
        </is>
      </c>
      <c r="F26" s="15" t="inlineStr">
        <is>
          <t>Phase 3</t>
        </is>
      </c>
      <c r="G26" s="15" t="inlineStr">
        <is>
          <t>Insulin simplification</t>
        </is>
      </c>
      <c r="H26" s="15" t="inlineStr">
        <is>
          <t>Once-weekly insulin; ONWARDS trials complete; Phase 3 NCT07076199 recruiting; FDA review 2026</t>
        </is>
      </c>
      <c r="I26" s="15" t="inlineStr">
        <is>
          <t>FDA 2026 — Recruiting</t>
        </is>
      </c>
      <c r="J26" s="15" t="n">
        <v>2026</v>
      </c>
      <c r="K26" s="16" t="inlineStr">
        <is>
          <t>https://tcoyd.org/2025/12/diabetes-predictions-2026/</t>
        </is>
      </c>
    </row>
    <row r="27" ht="23.85" customHeight="1" s="13">
      <c r="A27" s="17" t="inlineStr">
        <is>
          <t>T2D</t>
        </is>
      </c>
      <c r="B27" s="17" t="inlineStr">
        <is>
          <t>Treatment - Novel</t>
        </is>
      </c>
      <c r="C27" s="17" t="inlineStr">
        <is>
          <t>Efsitora Alpha</t>
        </is>
      </c>
      <c r="D27" s="17" t="inlineStr">
        <is>
          <t>Eli Lilly</t>
        </is>
      </c>
      <c r="E27" s="17" t="inlineStr">
        <is>
          <t>Once-weekly basal insulin</t>
        </is>
      </c>
      <c r="F27" s="17" t="inlineStr">
        <is>
          <t>Phase 3</t>
        </is>
      </c>
      <c r="G27" s="17" t="inlineStr">
        <is>
          <t>Insulin simplification</t>
        </is>
      </c>
      <c r="H27" s="17" t="inlineStr">
        <is>
          <t>Weekly insulin alternative to daily injections</t>
        </is>
      </c>
      <c r="I27" s="17" t="inlineStr">
        <is>
          <t>Active</t>
        </is>
      </c>
      <c r="J27" s="17" t="n">
        <v>2025</v>
      </c>
      <c r="K27" s="18" t="inlineStr">
        <is>
          <t>https://tcoyd.org/2025/12/diabetes-predictions-2026/</t>
        </is>
      </c>
    </row>
    <row r="28" ht="23.85" customHeight="1" s="13">
      <c r="A28" s="15" t="inlineStr">
        <is>
          <t>T2D</t>
        </is>
      </c>
      <c r="B28" s="15" t="inlineStr">
        <is>
          <t>Treatment - Novel</t>
        </is>
      </c>
      <c r="C28" s="15" t="inlineStr">
        <is>
          <t>Multi-Agonist Peptides</t>
        </is>
      </c>
      <c r="D28" s="15" t="inlineStr">
        <is>
          <t>Multiple Companies</t>
        </is>
      </c>
      <c r="E28" s="15" t="inlineStr">
        <is>
          <t>Incretin + amylin combos</t>
        </is>
      </c>
      <c r="F28" s="15" t="inlineStr">
        <is>
          <t>Phase 2-3</t>
        </is>
      </c>
      <c r="G28" s="15" t="inlineStr">
        <is>
          <t>Hybrid metabolic therapy</t>
        </is>
      </c>
      <c r="H28" s="15" t="inlineStr">
        <is>
          <t>Integrating metabolic, immunologic, neuroendocrine pathways</t>
        </is>
      </c>
      <c r="I28" s="15" t="inlineStr">
        <is>
          <t>Active</t>
        </is>
      </c>
      <c r="J28" s="15" t="n">
        <v>2025</v>
      </c>
      <c r="K28" s="16" t="inlineStr">
        <is>
          <t>https://link.springer.com/article/10.1007/s00125-025-06581-6</t>
        </is>
      </c>
    </row>
    <row r="29" ht="23.85" customHeight="1" s="13">
      <c r="A29" s="17" t="inlineStr">
        <is>
          <t>T2D</t>
        </is>
      </c>
      <c r="B29" s="17" t="inlineStr">
        <is>
          <t>Treatment - Novel</t>
        </is>
      </c>
      <c r="C29" s="17" t="inlineStr">
        <is>
          <t>miRNA-Based Therapies</t>
        </is>
      </c>
      <c r="D29" s="17" t="inlineStr">
        <is>
          <t>Academic Research</t>
        </is>
      </c>
      <c r="E29" s="17" t="inlineStr">
        <is>
          <t>MicroRNA modulation</t>
        </is>
      </c>
      <c r="F29" s="17" t="inlineStr">
        <is>
          <t>Preclinical</t>
        </is>
      </c>
      <c r="G29" s="17" t="inlineStr">
        <is>
          <t>Novel regulatory targets</t>
        </is>
      </c>
      <c r="H29" s="17" t="inlineStr">
        <is>
          <t>miRNA alterations linked to T2D; therapeutic potential</t>
        </is>
      </c>
      <c r="I29" s="17" t="inlineStr">
        <is>
          <t>Research</t>
        </is>
      </c>
      <c r="J29" s="17" t="n">
        <v>2025</v>
      </c>
      <c r="K29" s="18" t="inlineStr">
        <is>
          <t>https://eurjmedres.biomedcentral.com/articles/10.1186/s40001-025-02682-5</t>
        </is>
      </c>
    </row>
    <row r="30" ht="35.05" customHeight="1" s="13">
      <c r="A30" s="15" t="inlineStr">
        <is>
          <t>T2D</t>
        </is>
      </c>
      <c r="B30" s="15" t="inlineStr">
        <is>
          <t>Remission</t>
        </is>
      </c>
      <c r="C30" s="15" t="inlineStr">
        <is>
          <t>SGLT2i + Calorie Restriction</t>
        </is>
      </c>
      <c r="D30" s="15" t="inlineStr">
        <is>
          <t>Multiple Centers</t>
        </is>
      </c>
      <c r="E30" s="15" t="inlineStr">
        <is>
          <t>Combination metabolic reset</t>
        </is>
      </c>
      <c r="F30" s="15" t="inlineStr">
        <is>
          <t>RCT</t>
        </is>
      </c>
      <c r="G30" s="15" t="inlineStr">
        <is>
          <t>Diabetes remission</t>
        </is>
      </c>
      <c r="H30" s="15" t="inlineStr">
        <is>
          <t>44% remission rate in randomized study</t>
        </is>
      </c>
      <c r="I30" s="15" t="inlineStr">
        <is>
          <t>Published</t>
        </is>
      </c>
      <c r="J30" s="15" t="n">
        <v>2025</v>
      </c>
      <c r="K30" s="16" t="inlineStr">
        <is>
          <t>https://www.medscape.com/viewarticle/turning-tide-type-2-diabetes-evidence-based-pathways-2025a100102t</t>
        </is>
      </c>
    </row>
    <row r="31" ht="23.85" customHeight="1" s="13">
      <c r="A31" s="17" t="inlineStr">
        <is>
          <t>T2D</t>
        </is>
      </c>
      <c r="B31" s="17" t="inlineStr">
        <is>
          <t>Remission</t>
        </is>
      </c>
      <c r="C31" s="17" t="inlineStr">
        <is>
          <t>Beta Cell Recovery Pathways</t>
        </is>
      </c>
      <c r="D31" s="17" t="inlineStr">
        <is>
          <t>Multiple Groups</t>
        </is>
      </c>
      <c r="E31" s="17" t="inlineStr">
        <is>
          <t>Dedifferentiation reversal</t>
        </is>
      </c>
      <c r="F31" s="17" t="inlineStr">
        <is>
          <t>Research</t>
        </is>
      </c>
      <c r="G31" s="17" t="inlineStr">
        <is>
          <t>Beta cell restoration</t>
        </is>
      </c>
      <c r="H31" s="17" t="inlineStr">
        <is>
          <t>T2D remission achievable through beta cell recovery</t>
        </is>
      </c>
      <c r="I31" s="17" t="inlineStr">
        <is>
          <t>Published</t>
        </is>
      </c>
      <c r="J31" s="17" t="n">
        <v>2025</v>
      </c>
      <c r="K31" s="18" t="inlineStr">
        <is>
          <t>https://link.springer.com/article/10.1007/s00125-025-06499-z</t>
        </is>
      </c>
    </row>
    <row r="32" ht="23.85" customHeight="1" s="13">
      <c r="A32" s="15" t="inlineStr">
        <is>
          <t>T2D</t>
        </is>
      </c>
      <c r="B32" s="15" t="inlineStr">
        <is>
          <t>Prevention</t>
        </is>
      </c>
      <c r="C32" s="15" t="inlineStr">
        <is>
          <t>Diabetes Prevention Program</t>
        </is>
      </c>
      <c r="D32" s="15" t="inlineStr">
        <is>
          <t>CDC / NIDDK</t>
        </is>
      </c>
      <c r="E32" s="15" t="inlineStr">
        <is>
          <t>Lifestyle intervention</t>
        </is>
      </c>
      <c r="F32" s="15" t="inlineStr">
        <is>
          <t>Implemented</t>
        </is>
      </c>
      <c r="G32" s="15" t="inlineStr">
        <is>
          <t>5-7% weight loss</t>
        </is>
      </c>
      <c r="H32" s="15" t="inlineStr">
        <is>
          <t>58% reduction in T2D risk; only 3% of eligible enrolled</t>
        </is>
      </c>
      <c r="I32" s="15" t="inlineStr">
        <is>
          <t>Active</t>
        </is>
      </c>
      <c r="J32" s="15" t="n">
        <v>2025</v>
      </c>
      <c r="K32" s="16" t="inlineStr">
        <is>
          <t>https://pmc.ncbi.nlm.nih.gov/articles/PMC12178622/</t>
        </is>
      </c>
    </row>
    <row r="33" ht="23.85" customHeight="1" s="13">
      <c r="A33" s="17" t="inlineStr">
        <is>
          <t>T2D</t>
        </is>
      </c>
      <c r="B33" s="17" t="inlineStr">
        <is>
          <t>Prevention</t>
        </is>
      </c>
      <c r="C33" s="17" t="inlineStr">
        <is>
          <t>Multilevel Community Programs</t>
        </is>
      </c>
      <c r="D33" s="17" t="inlineStr">
        <is>
          <t>Multiple / Public Health</t>
        </is>
      </c>
      <c r="E33" s="17" t="inlineStr">
        <is>
          <t>Community + system interventions</t>
        </is>
      </c>
      <c r="F33" s="17" t="inlineStr">
        <is>
          <t>Research</t>
        </is>
      </c>
      <c r="G33" s="17" t="inlineStr">
        <is>
          <t>Address health inequities</t>
        </is>
      </c>
      <c r="H33" s="17" t="inlineStr">
        <is>
          <t>Multi-level approaches needed to reduce disparities</t>
        </is>
      </c>
      <c r="I33" s="17" t="inlineStr">
        <is>
          <t>Research</t>
        </is>
      </c>
      <c r="J33" s="17" t="n">
        <v>2025</v>
      </c>
      <c r="K33" s="18" t="inlineStr">
        <is>
          <t>https://publichealth.jmir.org/2025/1/e70267</t>
        </is>
      </c>
    </row>
    <row r="34" ht="23.85" customHeight="1" s="13">
      <c r="A34" s="15" t="inlineStr">
        <is>
          <t>Cross</t>
        </is>
      </c>
      <c r="B34" s="15" t="inlineStr">
        <is>
          <t>Drug Repurposing</t>
        </is>
      </c>
      <c r="C34" s="15" t="inlineStr">
        <is>
          <t>Metformin for Cancer</t>
        </is>
      </c>
      <c r="D34" s="15" t="inlineStr">
        <is>
          <t>Multiple Centers</t>
        </is>
      </c>
      <c r="E34" s="15" t="inlineStr">
        <is>
          <t>Anti-cancer + metabolic</t>
        </is>
      </c>
      <c r="F34" s="15" t="inlineStr">
        <is>
          <t>Research</t>
        </is>
      </c>
      <c r="G34" s="15" t="inlineStr">
        <is>
          <t>Dual disease benefit</t>
        </is>
      </c>
      <c r="H34" s="15" t="inlineStr">
        <is>
          <t>Antidiabetic drugs show emerging anticancer effects</t>
        </is>
      </c>
      <c r="I34" s="15" t="inlineStr">
        <is>
          <t>Research</t>
        </is>
      </c>
      <c r="J34" s="15" t="n">
        <v>2025</v>
      </c>
      <c r="K34" s="16" t="inlineStr">
        <is>
          <t>https://www.sciencedirect.com/science/article/pii/S2405803325001062</t>
        </is>
      </c>
    </row>
    <row r="35" ht="23.85" customHeight="1" s="13">
      <c r="A35" s="17" t="inlineStr">
        <is>
          <t>Cross</t>
        </is>
      </c>
      <c r="B35" s="17" t="inlineStr">
        <is>
          <t>Drug Repurposing</t>
        </is>
      </c>
      <c r="C35" s="17" t="inlineStr">
        <is>
          <t>GLP-1RAs Beyond Diabetes</t>
        </is>
      </c>
      <c r="D35" s="17" t="inlineStr">
        <is>
          <t>Multiple</t>
        </is>
      </c>
      <c r="E35" s="17" t="inlineStr">
        <is>
          <t>Cardiovascular + renal protection</t>
        </is>
      </c>
      <c r="F35" s="17" t="inlineStr">
        <is>
          <t>Phase 3</t>
        </is>
      </c>
      <c r="G35" s="17" t="inlineStr">
        <is>
          <t>Multi-organ benefit</t>
        </is>
      </c>
      <c r="H35" s="17" t="inlineStr">
        <is>
          <t>GLP-1RAs reduce CV events, slow CKD progression</t>
        </is>
      </c>
      <c r="I35" s="17" t="inlineStr">
        <is>
          <t>Active</t>
        </is>
      </c>
      <c r="J35" s="17" t="n">
        <v>2025</v>
      </c>
      <c r="K35" s="18" t="inlineStr">
        <is>
          <t>https://link.springer.com/article/10.1007/s00125-025-06581-6</t>
        </is>
      </c>
    </row>
    <row r="36" ht="23.85" customHeight="1" s="13">
      <c r="A36" s="15" t="inlineStr">
        <is>
          <t>Biomarkers</t>
        </is>
      </c>
      <c r="B36" s="15" t="inlineStr">
        <is>
          <t>Proteomics</t>
        </is>
      </c>
      <c r="C36" s="15" t="inlineStr">
        <is>
          <t>Plasma Proteomics (UK Biobank)</t>
        </is>
      </c>
      <c r="D36" s="15" t="inlineStr">
        <is>
          <t>AstraZeneca / CGR</t>
        </is>
      </c>
      <c r="E36" s="15" t="inlineStr">
        <is>
          <t>Proteomic profiling</t>
        </is>
      </c>
      <c r="F36" s="15" t="inlineStr">
        <is>
          <t>Published</t>
        </is>
      </c>
      <c r="G36" s="15" t="inlineStr">
        <is>
          <t>Risk stratification</t>
        </is>
      </c>
      <c r="H36" s="15" t="inlineStr">
        <is>
          <t>617 proteins linked to T2D; FAM3D as target</t>
        </is>
      </c>
      <c r="I36" s="15" t="inlineStr">
        <is>
          <t>Published</t>
        </is>
      </c>
      <c r="J36" s="15" t="n">
        <v>2025</v>
      </c>
      <c r="K36" s="16" t="inlineStr">
        <is>
          <t>https://www.nature.com/articles/s41467-025-56695-z</t>
        </is>
      </c>
    </row>
    <row r="37" ht="35.05" customHeight="1" s="13">
      <c r="A37" s="17" t="inlineStr">
        <is>
          <t>Biomarkers</t>
        </is>
      </c>
      <c r="B37" s="17" t="inlineStr">
        <is>
          <t>Multi-Omics</t>
        </is>
      </c>
      <c r="C37" s="17" t="inlineStr">
        <is>
          <t>AI Multi-Omics Integration</t>
        </is>
      </c>
      <c r="D37" s="17" t="inlineStr">
        <is>
          <t>Multiple / AI</t>
        </is>
      </c>
      <c r="E37" s="17" t="inlineStr">
        <is>
          <t>ML on combined omics</t>
        </is>
      </c>
      <c r="F37" s="17" t="inlineStr">
        <is>
          <t>Research</t>
        </is>
      </c>
      <c r="G37" s="17" t="inlineStr">
        <is>
          <t>Biomarker discovery</t>
        </is>
      </c>
      <c r="H37" s="17" t="inlineStr">
        <is>
          <t>AI+ML framework for integrated biomarker discovery</t>
        </is>
      </c>
      <c r="I37" s="17" t="inlineStr">
        <is>
          <t>Active</t>
        </is>
      </c>
      <c r="J37" s="17" t="n">
        <v>2025</v>
      </c>
      <c r="K37" s="18" t="inlineStr">
        <is>
          <t>https://www.frontiersin.org/journals/endocrinology/articles/10.3389/fendo.2025.1520436/full</t>
        </is>
      </c>
    </row>
    <row r="38" ht="23.85" customHeight="1" s="13">
      <c r="A38" s="15" t="inlineStr">
        <is>
          <t>Biomarkers</t>
        </is>
      </c>
      <c r="B38" s="15" t="inlineStr">
        <is>
          <t>Epigenetics</t>
        </is>
      </c>
      <c r="C38" s="15" t="inlineStr">
        <is>
          <t>DIAMANTE CpG Analysis</t>
        </is>
      </c>
      <c r="D38" s="15" t="inlineStr">
        <is>
          <t>Multi-Ethnic Study</t>
        </is>
      </c>
      <c r="E38" s="15" t="inlineStr">
        <is>
          <t>DNA methylation mapping</t>
        </is>
      </c>
      <c r="F38" s="15" t="inlineStr">
        <is>
          <t>Published</t>
        </is>
      </c>
      <c r="G38" s="15" t="inlineStr">
        <is>
          <t>Epigenetic markers</t>
        </is>
      </c>
      <c r="H38" s="15" t="inlineStr">
        <is>
          <t>1,120 CpGs associated with T2D; CAMK1D, TP53INP1 mechanisms</t>
        </is>
      </c>
      <c r="I38" s="15" t="inlineStr">
        <is>
          <t>Published</t>
        </is>
      </c>
      <c r="J38" s="15" t="n">
        <v>2025</v>
      </c>
      <c r="K38" s="16" t="inlineStr">
        <is>
          <t>https://www.e-dmj.org/journal/view.php?doi=10.4093/dmj.2025.0041</t>
        </is>
      </c>
    </row>
    <row r="39" ht="23.85" customHeight="1" s="13">
      <c r="A39" s="17" t="inlineStr">
        <is>
          <t>Biomarkers</t>
        </is>
      </c>
      <c r="B39" s="17" t="inlineStr">
        <is>
          <t>Metabolomics</t>
        </is>
      </c>
      <c r="C39" s="17" t="inlineStr">
        <is>
          <t>Diabetic Nephropathy Metabolites</t>
        </is>
      </c>
      <c r="D39" s="17" t="inlineStr">
        <is>
          <t>Multiple</t>
        </is>
      </c>
      <c r="E39" s="17" t="inlineStr">
        <is>
          <t>Urine metabolomics</t>
        </is>
      </c>
      <c r="F39" s="17" t="inlineStr">
        <is>
          <t>Published</t>
        </is>
      </c>
      <c r="G39" s="17" t="inlineStr">
        <is>
          <t>Complication prediction</t>
        </is>
      </c>
      <c r="H39" s="17" t="inlineStr">
        <is>
          <t>100% accuracy for biopsy-confirmed DN prediction</t>
        </is>
      </c>
      <c r="I39" s="17" t="inlineStr">
        <is>
          <t>Published</t>
        </is>
      </c>
      <c r="J39" s="17" t="n">
        <v>2025</v>
      </c>
      <c r="K39" s="18" t="inlineStr">
        <is>
          <t>https://journals.sagepub.com/doi/10.1177/1934578X251321758</t>
        </is>
      </c>
    </row>
    <row r="40" ht="23.85" customHeight="1" s="13">
      <c r="A40" s="15" t="inlineStr">
        <is>
          <t>Biomarkers</t>
        </is>
      </c>
      <c r="B40" s="15" t="inlineStr">
        <is>
          <t>Inflammatory</t>
        </is>
      </c>
      <c r="C40" s="15" t="inlineStr">
        <is>
          <t>TNF-α Complication Marker</t>
        </is>
      </c>
      <c r="D40" s="15" t="inlineStr">
        <is>
          <t>Multiple</t>
        </is>
      </c>
      <c r="E40" s="15" t="inlineStr">
        <is>
          <t>Inflammatory profiling</t>
        </is>
      </c>
      <c r="F40" s="15" t="inlineStr">
        <is>
          <t>Published</t>
        </is>
      </c>
      <c r="G40" s="15" t="inlineStr">
        <is>
          <t>Multi-complication prediction</t>
        </is>
      </c>
      <c r="H40" s="15" t="inlineStr">
        <is>
          <t>TNF-α predicts DN, retinopathy, and CV disease</t>
        </is>
      </c>
      <c r="I40" s="15" t="inlineStr">
        <is>
          <t>Published</t>
        </is>
      </c>
      <c r="J40" s="15" t="n">
        <v>2025</v>
      </c>
      <c r="K40" s="16" t="inlineStr">
        <is>
          <t>https://pmc.ncbi.nlm.nih.gov/articles/PMC12941287/</t>
        </is>
      </c>
    </row>
    <row r="41" ht="35.05" customHeight="1" s="13">
      <c r="A41" s="17" t="inlineStr">
        <is>
          <t>AI/ML</t>
        </is>
      </c>
      <c r="B41" s="17" t="inlineStr">
        <is>
          <t>Prediction</t>
        </is>
      </c>
      <c r="C41" s="17" t="inlineStr">
        <is>
          <t>ML Diabetes Risk Models</t>
        </is>
      </c>
      <c r="D41" s="17" t="inlineStr">
        <is>
          <t>Multiple Groups</t>
        </is>
      </c>
      <c r="E41" s="17" t="inlineStr">
        <is>
          <t>XGBoost, RF, SVM, CNN</t>
        </is>
      </c>
      <c r="F41" s="17" t="inlineStr">
        <is>
          <t>Research</t>
        </is>
      </c>
      <c r="G41" s="17" t="inlineStr">
        <is>
          <t>Early detection</t>
        </is>
      </c>
      <c r="H41" s="17" t="inlineStr">
        <is>
          <t>AI identifies non-obvious predictors of diabetes</t>
        </is>
      </c>
      <c r="I41" s="17" t="inlineStr">
        <is>
          <t>Active</t>
        </is>
      </c>
      <c r="J41" s="17" t="n">
        <v>2025</v>
      </c>
      <c r="K41" s="18" t="inlineStr">
        <is>
          <t>https://www.frontiersin.org/journals/digital-health/articles/10.3389/fdgth.2025.1557467/full</t>
        </is>
      </c>
    </row>
    <row r="42" ht="23.85" customHeight="1" s="13">
      <c r="A42" s="15" t="inlineStr">
        <is>
          <t>AI/ML</t>
        </is>
      </c>
      <c r="B42" s="15" t="inlineStr">
        <is>
          <t>Complication Prediction</t>
        </is>
      </c>
      <c r="C42" s="15" t="inlineStr">
        <is>
          <t>AI Complication Forecasting</t>
        </is>
      </c>
      <c r="D42" s="15" t="inlineStr">
        <is>
          <t>Multiple Groups</t>
        </is>
      </c>
      <c r="E42" s="15" t="inlineStr">
        <is>
          <t>Deep learning models</t>
        </is>
      </c>
      <c r="F42" s="15" t="inlineStr">
        <is>
          <t>Research</t>
        </is>
      </c>
      <c r="G42" s="15" t="inlineStr">
        <is>
          <t>Retinopathy, nephropathy</t>
        </is>
      </c>
      <c r="H42" s="15" t="inlineStr">
        <is>
          <t>FDA-approved models for automated detection</t>
        </is>
      </c>
      <c r="I42" s="15" t="inlineStr">
        <is>
          <t>Active</t>
        </is>
      </c>
      <c r="J42" s="15" t="n">
        <v>2025</v>
      </c>
      <c r="K42" s="16" t="inlineStr">
        <is>
          <t>https://journals.sagepub.com/doi/10.1177/19322968251365245</t>
        </is>
      </c>
    </row>
    <row r="43" ht="23.85" customHeight="1" s="13">
      <c r="A43" s="17" t="inlineStr">
        <is>
          <t>AI/ML</t>
        </is>
      </c>
      <c r="B43" s="17" t="inlineStr">
        <is>
          <t>Drug Discovery</t>
        </is>
      </c>
      <c r="C43" s="17" t="inlineStr">
        <is>
          <t>AI Drug Repurposing</t>
        </is>
      </c>
      <c r="D43" s="17" t="inlineStr">
        <is>
          <t>Multiple</t>
        </is>
      </c>
      <c r="E43" s="17" t="inlineStr">
        <is>
          <t>Computational perturbation models</t>
        </is>
      </c>
      <c r="F43" s="17" t="inlineStr">
        <is>
          <t>Research</t>
        </is>
      </c>
      <c r="G43" s="17" t="inlineStr">
        <is>
          <t>New therapeutic connections</t>
        </is>
      </c>
      <c r="H43" s="17" t="inlineStr">
        <is>
          <t>20 T2D drug connections; metformin-microbiome links</t>
        </is>
      </c>
      <c r="I43" s="17" t="inlineStr">
        <is>
          <t>Research</t>
        </is>
      </c>
      <c r="J43" s="17" t="n">
        <v>2025</v>
      </c>
      <c r="K43" s="18" t="inlineStr">
        <is>
          <t>https://advanced.onlinelibrary.wiley.com/doi/10.1002/advs.202411325</t>
        </is>
      </c>
    </row>
    <row r="44" ht="23.85" customHeight="1" s="13">
      <c r="A44" s="15" t="inlineStr">
        <is>
          <t>AI/ML</t>
        </is>
      </c>
      <c r="B44" s="15" t="inlineStr">
        <is>
          <t>Clinical Decision</t>
        </is>
      </c>
      <c r="C44" s="15" t="inlineStr">
        <is>
          <t>AI Retinopathy Screening</t>
        </is>
      </c>
      <c r="D44" s="15" t="inlineStr">
        <is>
          <t>FDA-Approved Systems</t>
        </is>
      </c>
      <c r="E44" s="15" t="inlineStr">
        <is>
          <t>Deep learning imaging</t>
        </is>
      </c>
      <c r="F44" s="15" t="inlineStr">
        <is>
          <t>Approved</t>
        </is>
      </c>
      <c r="G44" s="15" t="inlineStr">
        <is>
          <t>Automated screening</t>
        </is>
      </c>
      <c r="H44" s="15" t="inlineStr">
        <is>
          <t>High sensitivity/specificity for DR detection</t>
        </is>
      </c>
      <c r="I44" s="15" t="inlineStr">
        <is>
          <t>Approved</t>
        </is>
      </c>
      <c r="J44" s="15" t="n">
        <v>2025</v>
      </c>
      <c r="K44" s="16" t="inlineStr">
        <is>
          <t>https://journals.sagepub.com/doi/10.1177/19322968251365245</t>
        </is>
      </c>
    </row>
    <row r="45" ht="35.05" customHeight="1" s="13">
      <c r="A45" s="17" t="inlineStr">
        <is>
          <t>Complications</t>
        </is>
      </c>
      <c r="B45" s="17" t="inlineStr">
        <is>
          <t>Kidney</t>
        </is>
      </c>
      <c r="C45" s="17" t="inlineStr">
        <is>
          <t>SGLT2i + MRA + GLP-1RA Combo</t>
        </is>
      </c>
      <c r="D45" s="17" t="inlineStr">
        <is>
          <t>ADA Guidelines</t>
        </is>
      </c>
      <c r="E45" s="17" t="inlineStr">
        <is>
          <t>Triple renoprotective</t>
        </is>
      </c>
      <c r="F45" s="17" t="inlineStr">
        <is>
          <t>Clinical</t>
        </is>
      </c>
      <c r="G45" s="17" t="inlineStr">
        <is>
          <t>Slow CKD progression</t>
        </is>
      </c>
      <c r="H45" s="17" t="inlineStr">
        <is>
          <t>SGLT2i, finerenone, GLP-1RA for diabetic kidney disease</t>
        </is>
      </c>
      <c r="I45" s="17" t="inlineStr">
        <is>
          <t>Guideline</t>
        </is>
      </c>
      <c r="J45" s="17" t="n">
        <v>2026</v>
      </c>
      <c r="K45" s="18" t="inlineStr">
        <is>
          <t>https://diabetesjournals.org/care/article/49/Supplement_1/S261/163919/12-Retinopathy-Neuropathy-and-Foot-Care-Standards</t>
        </is>
      </c>
    </row>
    <row r="46" ht="35.05" customHeight="1" s="13">
      <c r="A46" s="15" t="inlineStr">
        <is>
          <t>Complications</t>
        </is>
      </c>
      <c r="B46" s="15" t="inlineStr">
        <is>
          <t>Retinopathy</t>
        </is>
      </c>
      <c r="C46" s="15" t="inlineStr">
        <is>
          <t>GLP-1RA Retinal Protection</t>
        </is>
      </c>
      <c r="D46" s="15" t="inlineStr">
        <is>
          <t>Clinical Studies</t>
        </is>
      </c>
      <c r="E46" s="15" t="inlineStr">
        <is>
          <t>Anti-inflammatory retinal</t>
        </is>
      </c>
      <c r="F46" s="15" t="inlineStr">
        <is>
          <t>Phase 3</t>
        </is>
      </c>
      <c r="G46" s="15" t="inlineStr">
        <is>
          <t>Slow DR progression</t>
        </is>
      </c>
      <c r="H46" s="15" t="inlineStr">
        <is>
          <t>GLP-1RAs reduce NPDR progression by 8-15%</t>
        </is>
      </c>
      <c r="I46" s="15" t="inlineStr">
        <is>
          <t>Active</t>
        </is>
      </c>
      <c r="J46" s="15" t="n">
        <v>2025</v>
      </c>
      <c r="K46" s="16" t="inlineStr">
        <is>
          <t>https://www.emjreviews.com/wp-content/uploads/2025/10/Treatment-of-Type-2-Diabetes.pdf</t>
        </is>
      </c>
    </row>
    <row r="47" ht="23.85" customHeight="1" s="13">
      <c r="A47" s="17" t="inlineStr">
        <is>
          <t>Complications</t>
        </is>
      </c>
      <c r="B47" s="17" t="inlineStr">
        <is>
          <t>Cardiovascular</t>
        </is>
      </c>
      <c r="C47" s="17" t="inlineStr">
        <is>
          <t>Cell Therapy for Diabetic CV</t>
        </is>
      </c>
      <c r="D47" s="17" t="inlineStr">
        <is>
          <t>Multiple</t>
        </is>
      </c>
      <c r="E47" s="17" t="inlineStr">
        <is>
          <t>Stem cell CV repair</t>
        </is>
      </c>
      <c r="F47" s="17" t="inlineStr">
        <is>
          <t>Research</t>
        </is>
      </c>
      <c r="G47" s="17" t="inlineStr">
        <is>
          <t>CV damage repair</t>
        </is>
      </c>
      <c r="H47" s="17" t="inlineStr">
        <is>
          <t>Cell-based therapy for diabetic cardiovascular complications</t>
        </is>
      </c>
      <c r="I47" s="17" t="inlineStr">
        <is>
          <t>Research</t>
        </is>
      </c>
      <c r="J47" s="17" t="n">
        <v>2025</v>
      </c>
      <c r="K47" s="18" t="inlineStr">
        <is>
          <t>https://pubmed.ncbi.nlm.nih.gov/39001568/</t>
        </is>
      </c>
    </row>
    <row r="48" ht="23.85" customHeight="1" s="13">
      <c r="A48" s="15" t="inlineStr">
        <is>
          <t>Microbiome</t>
        </is>
      </c>
      <c r="B48" s="15" t="inlineStr">
        <is>
          <t>Therapeutics</t>
        </is>
      </c>
      <c r="C48" s="15" t="inlineStr">
        <is>
          <t>Akkermansia muciniphila</t>
        </is>
      </c>
      <c r="D48" s="15" t="inlineStr">
        <is>
          <t>Multiple</t>
        </is>
      </c>
      <c r="E48" s="15" t="inlineStr">
        <is>
          <t>Probiotic supplementation</t>
        </is>
      </c>
      <c r="F48" s="15" t="inlineStr">
        <is>
          <t>Clinical</t>
        </is>
      </c>
      <c r="G48" s="15" t="inlineStr">
        <is>
          <t>Improve insulin sensitivity</t>
        </is>
      </c>
      <c r="H48" s="15" t="inlineStr">
        <is>
          <t>Improved glycemic parameters and lipid metabolism</t>
        </is>
      </c>
      <c r="I48" s="15" t="inlineStr">
        <is>
          <t>Active</t>
        </is>
      </c>
      <c r="J48" s="15" t="n">
        <v>2025</v>
      </c>
      <c r="K48" s="16" t="inlineStr">
        <is>
          <t>https://www.mdpi.com/2072-6643/18/1/89</t>
        </is>
      </c>
    </row>
    <row r="49" ht="23.85" customHeight="1" s="13">
      <c r="A49" s="17" t="inlineStr">
        <is>
          <t>Microbiome</t>
        </is>
      </c>
      <c r="B49" s="17" t="inlineStr">
        <is>
          <t>Diagnostics</t>
        </is>
      </c>
      <c r="C49" s="17" t="inlineStr">
        <is>
          <t>Microbiome-Guided Nutrition</t>
        </is>
      </c>
      <c r="D49" s="17" t="inlineStr">
        <is>
          <t>Clinical Trial</t>
        </is>
      </c>
      <c r="E49" s="17" t="inlineStr">
        <is>
          <t>Personalized fiber intervention</t>
        </is>
      </c>
      <c r="F49" s="17" t="inlineStr">
        <is>
          <t>RCT</t>
        </is>
      </c>
      <c r="G49" s="17" t="inlineStr">
        <is>
          <t>Targeted prevention</t>
        </is>
      </c>
      <c r="H49" s="17" t="inlineStr">
        <is>
          <t>Gut profile predicts fiber intervention response in prediabetes</t>
        </is>
      </c>
      <c r="I49" s="17" t="inlineStr">
        <is>
          <t>Published</t>
        </is>
      </c>
      <c r="J49" s="17" t="n">
        <v>2025</v>
      </c>
      <c r="K49" s="18" t="inlineStr">
        <is>
          <t>https://www.nature.com/articles/s41467-025-66498-x</t>
        </is>
      </c>
    </row>
    <row r="50" ht="23.85" customHeight="1" s="13">
      <c r="A50" s="15" t="inlineStr">
        <is>
          <t>Microbiome</t>
        </is>
      </c>
      <c r="B50" s="15" t="inlineStr">
        <is>
          <t>Biology</t>
        </is>
      </c>
      <c r="C50" s="15" t="inlineStr">
        <is>
          <t>Gut-Liver Metabolite Axis</t>
        </is>
      </c>
      <c r="D50" s="15" t="inlineStr">
        <is>
          <t>Harvard</t>
        </is>
      </c>
      <c r="E50" s="15" t="inlineStr">
        <is>
          <t>Microbial metabolite signaling</t>
        </is>
      </c>
      <c r="F50" s="15" t="inlineStr">
        <is>
          <t>Research</t>
        </is>
      </c>
      <c r="G50" s="15" t="inlineStr">
        <is>
          <t>Metabolic regulation</t>
        </is>
      </c>
      <c r="H50" s="15" t="inlineStr">
        <is>
          <t>Gut bacterial molecules travel to liver; control energy use</t>
        </is>
      </c>
      <c r="I50" s="15" t="inlineStr">
        <is>
          <t>Published</t>
        </is>
      </c>
      <c r="J50" s="15" t="n">
        <v>2025</v>
      </c>
      <c r="K50" s="16" t="inlineStr">
        <is>
          <t>https://www.sciencedaily.com/releases/2025/12/251214100926.htm</t>
        </is>
      </c>
    </row>
    <row r="51" ht="23.85" customHeight="1" s="13">
      <c r="A51" s="17" t="inlineStr">
        <is>
          <t>Microbiome</t>
        </is>
      </c>
      <c r="B51" s="17" t="inlineStr">
        <is>
          <t>Biology</t>
        </is>
      </c>
      <c r="C51" s="17" t="inlineStr">
        <is>
          <t>Large-Scale Microbiome Map</t>
        </is>
      </c>
      <c r="D51" s="17" t="inlineStr">
        <is>
          <t>Multi-Center (34,500 people)</t>
        </is>
      </c>
      <c r="E51" s="17" t="inlineStr">
        <is>
          <t>Species-level profiling</t>
        </is>
      </c>
      <c r="F51" s="17" t="inlineStr">
        <is>
          <t>Published</t>
        </is>
      </c>
      <c r="G51" s="17" t="inlineStr">
        <is>
          <t>Health-microbe links</t>
        </is>
      </c>
      <c r="H51" s="17" t="inlineStr">
        <is>
          <t>Hundreds of species linked to health and diet markers</t>
        </is>
      </c>
      <c r="I51" s="17" t="inlineStr">
        <is>
          <t>Published</t>
        </is>
      </c>
      <c r="J51" s="17" t="n">
        <v>2025</v>
      </c>
      <c r="K51" s="18" t="inlineStr">
        <is>
          <t>https://medicalxpress.com/news/2025-12-large-scale-gut-microbiome-microbes.html</t>
        </is>
      </c>
    </row>
    <row r="52" ht="35.05" customHeight="1" s="13">
      <c r="A52" s="15" t="inlineStr">
        <is>
          <t>Subtypes</t>
        </is>
      </c>
      <c r="B52" s="15" t="inlineStr">
        <is>
          <t>Classification</t>
        </is>
      </c>
      <c r="C52" s="15" t="inlineStr">
        <is>
          <t>LADA / SPIDDM Recognition</t>
        </is>
      </c>
      <c r="D52" s="15" t="inlineStr">
        <is>
          <t>ADA Standards 2026</t>
        </is>
      </c>
      <c r="E52" s="15" t="inlineStr">
        <is>
          <t>Autoantibody testing</t>
        </is>
      </c>
      <c r="F52" s="15" t="inlineStr">
        <is>
          <t>Guideline</t>
        </is>
      </c>
      <c r="G52" s="15" t="inlineStr">
        <is>
          <t>Reduce misdiagnosis</t>
        </is>
      </c>
      <c r="H52" s="15" t="inlineStr">
        <is>
          <t>4-14% of T2D patients actually have LADA</t>
        </is>
      </c>
      <c r="I52" s="15" t="inlineStr">
        <is>
          <t>Guideline</t>
        </is>
      </c>
      <c r="J52" s="15" t="n">
        <v>2026</v>
      </c>
      <c r="K52" s="16" t="inlineStr">
        <is>
          <t>https://diabetesjournals.org/care/article/49/Supplement_1/S27/163926/2-Diagnosis-and-Classification-of-Diabetes</t>
        </is>
      </c>
    </row>
    <row r="53" ht="23.85" customHeight="1" s="13">
      <c r="A53" s="17" t="inlineStr">
        <is>
          <t>Subtypes</t>
        </is>
      </c>
      <c r="B53" s="17" t="inlineStr">
        <is>
          <t>Classification</t>
        </is>
      </c>
      <c r="C53" s="17" t="inlineStr">
        <is>
          <t>Gestational DM → LADA Link</t>
        </is>
      </c>
      <c r="D53" s="17" t="inlineStr">
        <is>
          <t>Multiple Studies</t>
        </is>
      </c>
      <c r="E53" s="17" t="inlineStr">
        <is>
          <t>Autoantibody screening post-GDM</t>
        </is>
      </c>
      <c r="F53" s="17" t="inlineStr">
        <is>
          <t>Research</t>
        </is>
      </c>
      <c r="G53" s="17" t="inlineStr">
        <is>
          <t>Risk stratification</t>
        </is>
      </c>
      <c r="H53" s="17" t="inlineStr">
        <is>
          <t>GDM with GAD antibodies → high risk of LADA postpartum</t>
        </is>
      </c>
      <c r="I53" s="17" t="inlineStr">
        <is>
          <t>Published</t>
        </is>
      </c>
      <c r="J53" s="17" t="n">
        <v>2025</v>
      </c>
      <c r="K53" s="18" t="inlineStr">
        <is>
          <t>https://www.mdpi.com/1422-0067/26/13/6499</t>
        </is>
      </c>
    </row>
    <row r="54" ht="35.05" customHeight="1" s="13">
      <c r="A54" s="15" t="inlineStr">
        <is>
          <t>Subtypes</t>
        </is>
      </c>
      <c r="B54" s="15" t="inlineStr">
        <is>
          <t>Classification</t>
        </is>
      </c>
      <c r="C54" s="15" t="inlineStr">
        <is>
          <t>Type 3c (Pancreatogenic)</t>
        </is>
      </c>
      <c r="D54" s="15" t="inlineStr">
        <is>
          <t>ADA Standards 2026</t>
        </is>
      </c>
      <c r="E54" s="15" t="inlineStr">
        <is>
          <t>Exocrine + endocrine loss</t>
        </is>
      </c>
      <c r="F54" s="15" t="inlineStr">
        <is>
          <t>Guideline</t>
        </is>
      </c>
      <c r="G54" s="15" t="inlineStr">
        <is>
          <t>Correct diagnosis</t>
        </is>
      </c>
      <c r="H54" s="15" t="inlineStr">
        <is>
          <t>Commonly misdiagnosed as T2D; distinct management needed</t>
        </is>
      </c>
      <c r="I54" s="15" t="inlineStr">
        <is>
          <t>Guideline</t>
        </is>
      </c>
      <c r="J54" s="15" t="n">
        <v>2026</v>
      </c>
      <c r="K54" s="16" t="inlineStr">
        <is>
          <t>https://diabetesjournals.org/care/article/49/Supplement_1/S27/163926/2-Diagnosis-and-Classification-of-Diabetes</t>
        </is>
      </c>
    </row>
    <row r="55" ht="23.85" customHeight="1" s="13">
      <c r="A55" s="17" t="inlineStr">
        <is>
          <t>Epidemiology</t>
        </is>
      </c>
      <c r="B55" s="17" t="inlineStr">
        <is>
          <t>Global Burden</t>
        </is>
      </c>
      <c r="C55" s="17" t="inlineStr">
        <is>
          <t>Global Prevalence 2024</t>
        </is>
      </c>
      <c r="D55" s="17" t="inlineStr">
        <is>
          <t>IDF / Lancet</t>
        </is>
      </c>
      <c r="E55" s="17" t="inlineStr">
        <is>
          <t>Population surveillance</t>
        </is>
      </c>
      <c r="F55" s="17" t="inlineStr">
        <is>
          <t>Published</t>
        </is>
      </c>
      <c r="G55" s="17" t="inlineStr">
        <is>
          <t>Scope of crisis</t>
        </is>
      </c>
      <c r="H55" s="17" t="inlineStr">
        <is>
          <t>589 million adults with diabetes; projected 46% increase by 2050</t>
        </is>
      </c>
      <c r="I55" s="17" t="inlineStr">
        <is>
          <t>Published</t>
        </is>
      </c>
      <c r="J55" s="17" t="n">
        <v>2025</v>
      </c>
      <c r="K55" s="18" t="inlineStr">
        <is>
          <t>https://www.thelancet.com/article/S0140-6736(23)01301-6/fulltext</t>
        </is>
      </c>
    </row>
    <row r="56" ht="23.85" customHeight="1" s="13">
      <c r="A56" s="15" t="inlineStr">
        <is>
          <t>Epidemiology</t>
        </is>
      </c>
      <c r="B56" s="15" t="inlineStr">
        <is>
          <t>Health Equity</t>
        </is>
      </c>
      <c r="C56" s="15" t="inlineStr">
        <is>
          <t>Technology Access Disparities</t>
        </is>
      </c>
      <c r="D56" s="15" t="inlineStr">
        <is>
          <t>Scoping Review</t>
        </is>
      </c>
      <c r="E56" s="15" t="inlineStr">
        <is>
          <t>Equity analysis</t>
        </is>
      </c>
      <c r="F56" s="15" t="inlineStr">
        <is>
          <t>Published</t>
        </is>
      </c>
      <c r="G56" s="15" t="inlineStr">
        <is>
          <t>Identify barriers</t>
        </is>
      </c>
      <c r="H56" s="15" t="inlineStr">
        <is>
          <t>Consistent disparities in CGM, pump, telehealth access</t>
        </is>
      </c>
      <c r="I56" s="15" t="inlineStr">
        <is>
          <t>Published</t>
        </is>
      </c>
      <c r="J56" s="15" t="n">
        <v>2026</v>
      </c>
      <c r="K56" s="16" t="inlineStr">
        <is>
          <t>https://link.springer.com/article/10.1007/s40200-026-01901-y</t>
        </is>
      </c>
    </row>
    <row r="57" ht="23.85" customHeight="1" s="13">
      <c r="A57" s="17" t="inlineStr">
        <is>
          <t>Epidemiology</t>
        </is>
      </c>
      <c r="B57" s="17" t="inlineStr">
        <is>
          <t>Health Equity</t>
        </is>
      </c>
      <c r="C57" s="17" t="inlineStr">
        <is>
          <t>Youth T2D Racial Disparities</t>
        </is>
      </c>
      <c r="D57" s="17" t="inlineStr">
        <is>
          <t>CDC / Multiple</t>
        </is>
      </c>
      <c r="E57" s="17" t="inlineStr">
        <is>
          <t>Epidemiology</t>
        </is>
      </c>
      <c r="F57" s="17" t="inlineStr">
        <is>
          <t>Published</t>
        </is>
      </c>
      <c r="G57" s="17" t="inlineStr">
        <is>
          <t>Youth prevention</t>
        </is>
      </c>
      <c r="H57" s="17" t="inlineStr">
        <is>
          <t>2-3x higher T2D rates in Black and Hispanic youth</t>
        </is>
      </c>
      <c r="I57" s="17" t="inlineStr">
        <is>
          <t>Published</t>
        </is>
      </c>
      <c r="J57" s="17" t="n">
        <v>2025</v>
      </c>
      <c r="K57" s="18" t="inlineStr">
        <is>
          <t>https://jphe.amegroups.org/article/view/10679/html</t>
        </is>
      </c>
    </row>
    <row r="58" ht="23.85" customHeight="1" s="13">
      <c r="A58" s="15" t="inlineStr">
        <is>
          <t>Epidemiology</t>
        </is>
      </c>
      <c r="B58" s="15" t="inlineStr">
        <is>
          <t>Treatment Gap</t>
        </is>
      </c>
      <c r="C58" s="15" t="inlineStr">
        <is>
          <t>Global Treatment Coverage</t>
        </is>
      </c>
      <c r="D58" s="15" t="inlineStr">
        <is>
          <t>Lancet</t>
        </is>
      </c>
      <c r="E58" s="15" t="inlineStr">
        <is>
          <t>Access analysis</t>
        </is>
      </c>
      <c r="F58" s="15" t="inlineStr">
        <is>
          <t>Published</t>
        </is>
      </c>
      <c r="G58" s="15" t="inlineStr">
        <is>
          <t>Identify gaps</t>
        </is>
      </c>
      <c r="H58" s="15" t="inlineStr">
        <is>
          <t>Low/middle income countries: treatment hasn't kept pace with prevalence</t>
        </is>
      </c>
      <c r="I58" s="15" t="inlineStr">
        <is>
          <t>Published</t>
        </is>
      </c>
      <c r="J58" s="15" t="n">
        <v>2025</v>
      </c>
      <c r="K58" s="16" t="inlineStr">
        <is>
          <t>https://www.thelancet.com/journals/lancet/article/PIIS0140-6736(24)02317-1/fulltext</t>
        </is>
      </c>
    </row>
    <row r="59">
      <c r="A59" s="12" t="inlineStr">
        <is>
          <t>T1D</t>
        </is>
      </c>
      <c r="B59" s="12" t="inlineStr">
        <is>
          <t>Cure - Stem Cell</t>
        </is>
      </c>
      <c r="C59" s="12" t="inlineStr">
        <is>
          <t>Autologous/Allogeneic Islet Therapy (Shi/Yin)</t>
        </is>
      </c>
      <c r="D59" s="12" t="inlineStr">
        <is>
          <t>Shanghai Changzheng Hospital</t>
        </is>
      </c>
      <c r="E59" s="12" t="inlineStr">
        <is>
          <t>iPSC-derived islets (autologous + allogeneic)</t>
        </is>
      </c>
      <c r="F59" s="12" t="inlineStr">
        <is>
          <t>Clinical Report</t>
        </is>
      </c>
      <c r="G59" s="12" t="inlineStr">
        <is>
          <t>Beta cell replacement</t>
        </is>
      </c>
      <c r="H59" s="12" t="inlineStr">
        <is>
          <t>3 T1D patients with complete beta cell loss; Lancet Diabetes Endocrinol 2026</t>
        </is>
      </c>
      <c r="I59" s="12" t="inlineStr">
        <is>
          <t>Published</t>
        </is>
      </c>
      <c r="J59" s="12" t="n">
        <v>2026</v>
      </c>
      <c r="K59" s="12" t="inlineStr">
        <is>
          <t>https://pubmed.ncbi.nlm.nih.gov/41765034/</t>
        </is>
      </c>
    </row>
    <row r="60">
      <c r="A60" s="12" t="inlineStr">
        <is>
          <t>T2D</t>
        </is>
      </c>
      <c r="B60" s="12" t="inlineStr">
        <is>
          <t>Novel Mechanism</t>
        </is>
      </c>
      <c r="C60" s="12" t="inlineStr">
        <is>
          <t>Canagliflozin Beta Cell Regeneration</t>
        </is>
      </c>
      <c r="D60" s="12" t="inlineStr">
        <is>
          <t>Popescu et al.</t>
        </is>
      </c>
      <c r="E60" s="12" t="inlineStr">
        <is>
          <t>SGLT2 inhibitor promoting beta cell regeneration &amp; identity</t>
        </is>
      </c>
      <c r="F60" s="12" t="inlineStr">
        <is>
          <t>Preclinical/Translational</t>
        </is>
      </c>
      <c r="G60" s="12" t="inlineStr">
        <is>
          <t>Beta cell recovery</t>
        </is>
      </c>
      <c r="H60" s="12" t="inlineStr">
        <is>
          <t>Promotes beta cell regeneration and restores beta cell identity in severe T2D model</t>
        </is>
      </c>
      <c r="I60" s="12" t="inlineStr">
        <is>
          <t>Published</t>
        </is>
      </c>
      <c r="J60" s="12" t="n">
        <v>2026</v>
      </c>
      <c r="K60" s="12" t="inlineStr">
        <is>
          <t>https://pubmed.ncbi.nlm.nih.gov/41814144/</t>
        </is>
      </c>
    </row>
    <row r="61">
      <c r="A61" s="12" t="inlineStr">
        <is>
          <t>T2D</t>
        </is>
      </c>
      <c r="B61" s="12" t="inlineStr">
        <is>
          <t>Technology</t>
        </is>
      </c>
      <c r="C61" s="12" t="inlineStr">
        <is>
          <t>MiniMed 780G for T2D</t>
        </is>
      </c>
      <c r="D61" s="12" t="inlineStr">
        <is>
          <t>Medtronic</t>
        </is>
      </c>
      <c r="E61" s="12" t="inlineStr">
        <is>
          <t>AID system with iAGC SmartGuard algorithm</t>
        </is>
      </c>
      <c r="F61" s="12" t="inlineStr">
        <is>
          <t>FDA Cleared</t>
        </is>
      </c>
      <c r="G61" s="12" t="inlineStr">
        <is>
          <t>Insulin-requiring T2D</t>
        </is>
      </c>
      <c r="H61" s="12" t="inlineStr">
        <is>
          <t>FDA cleared for T2D; Medicare access granted; ultra-rapid insulin cleared Feb 2026</t>
        </is>
      </c>
      <c r="I61" s="12" t="inlineStr">
        <is>
          <t>Approved</t>
        </is>
      </c>
      <c r="J61" s="12" t="n">
        <v>2026</v>
      </c>
      <c r="K61" s="12" t="inlineStr">
        <is>
          <t>https://news.medtronic.com/2026-02-02-Medtronic-Diabetes-expands-access</t>
        </is>
      </c>
    </row>
    <row r="62">
      <c r="A62" s="12" t="inlineStr">
        <is>
          <t>T2D</t>
        </is>
      </c>
      <c r="B62" s="12" t="inlineStr">
        <is>
          <t>Technology</t>
        </is>
      </c>
      <c r="C62" s="12" t="inlineStr">
        <is>
          <t>Dexcom G7 for Non-Insulin T2D</t>
        </is>
      </c>
      <c r="D62" s="12" t="inlineStr">
        <is>
          <t>Dexcom</t>
        </is>
      </c>
      <c r="E62" s="12" t="inlineStr">
        <is>
          <t>CGM for weight management and A1C in non-insulin T2D</t>
        </is>
      </c>
      <c r="F62" s="12" t="inlineStr">
        <is>
          <t>Registry Study</t>
        </is>
      </c>
      <c r="G62" s="12" t="inlineStr">
        <is>
          <t>Non-insulin T2D</t>
        </is>
      </c>
      <c r="H62" s="12" t="inlineStr">
        <is>
          <t>Long-term G7 use supports weight management and lowers A1C; ATTD 2026 data</t>
        </is>
      </c>
      <c r="I62" s="12" t="inlineStr">
        <is>
          <t>Active</t>
        </is>
      </c>
      <c r="J62" s="12" t="n">
        <v>2026</v>
      </c>
      <c r="K62" s="12" t="inlineStr">
        <is>
          <t>https://investors.dexcom.com/news/news-details/2026/Dexcom-Showcases-Breakthrough-Outcomes</t>
        </is>
      </c>
    </row>
    <row r="63">
      <c r="A63" s="12" t="inlineStr">
        <is>
          <t>T2D</t>
        </is>
      </c>
      <c r="B63" s="12" t="inlineStr">
        <is>
          <t>Technology</t>
        </is>
      </c>
      <c r="C63" s="12" t="inlineStr">
        <is>
          <t>Closed-Loop AID in T2D (Meta-Analysis)</t>
        </is>
      </c>
      <c r="D63" s="12" t="inlineStr">
        <is>
          <t>Ali et al.</t>
        </is>
      </c>
      <c r="E63" s="12" t="inlineStr">
        <is>
          <t>Systematic review of automated insulin delivery in T2D</t>
        </is>
      </c>
      <c r="F63" s="12" t="inlineStr">
        <is>
          <t>Meta-Analysis (1a)</t>
        </is>
      </c>
      <c r="G63" s="12" t="inlineStr">
        <is>
          <t>T2D insulin users</t>
        </is>
      </c>
      <c r="H63" s="12" t="inlineStr">
        <is>
          <t>Meta-analysis of RCTs confirming AID efficacy in T2D</t>
        </is>
      </c>
      <c r="I63" s="12" t="inlineStr">
        <is>
          <t>Published</t>
        </is>
      </c>
      <c r="J63" s="12" t="n">
        <v>2026</v>
      </c>
      <c r="K63" s="12" t="inlineStr">
        <is>
          <t>https://pubmed.ncbi.nlm.nih.gov/41830110/</t>
        </is>
      </c>
    </row>
    <row r="64">
      <c r="A64" s="12" t="inlineStr">
        <is>
          <t>T2D</t>
        </is>
      </c>
      <c r="B64" s="12" t="inlineStr">
        <is>
          <t>Oral GLP-1</t>
        </is>
      </c>
      <c r="C64" s="12" t="inlineStr">
        <is>
          <t>Ozempic Tablets (Oral Semaglutide)</t>
        </is>
      </c>
      <c r="D64" s="12" t="inlineStr">
        <is>
          <t>Novo Nordisk</t>
        </is>
      </c>
      <c r="E64" s="12" t="inlineStr">
        <is>
          <t>GLP-1 receptor agonist (oral tablet formulation)</t>
        </is>
      </c>
      <c r="F64" s="12" t="inlineStr">
        <is>
          <t>FDA Approved (Feb 2026)</t>
        </is>
      </c>
      <c r="G64" s="12" t="inlineStr">
        <is>
          <t>T2D glycemic control</t>
        </is>
      </c>
      <c r="H64" s="12" t="inlineStr">
        <is>
          <t>First oral GLP-1RA tablet; 25mg supplemental under review</t>
        </is>
      </c>
      <c r="I64" s="12" t="inlineStr">
        <is>
          <t>Approved</t>
        </is>
      </c>
      <c r="J64" s="12" t="n">
        <v>2026</v>
      </c>
      <c r="K64" s="12" t="inlineStr">
        <is>
          <t>https://www.ajmc.com/view/fda-approves-oral-semaglutide-as-first-glp-1-pill-for-weight-loss</t>
        </is>
      </c>
    </row>
    <row r="65">
      <c r="A65" s="12" t="inlineStr">
        <is>
          <t>T2D</t>
        </is>
      </c>
      <c r="B65" s="12" t="inlineStr">
        <is>
          <t>Oral GLP-1</t>
        </is>
      </c>
      <c r="C65" s="12" t="inlineStr">
        <is>
          <t>ASC30</t>
        </is>
      </c>
      <c r="D65" s="12" t="inlineStr">
        <is>
          <t>Ascletis Pharma</t>
        </is>
      </c>
      <c r="E65" s="12" t="inlineStr">
        <is>
          <t>Oral small molecule GLP-1 receptor agonist</t>
        </is>
      </c>
      <c r="F65" s="12" t="inlineStr">
        <is>
          <t>Phase 2 (IND cleared Mar 2026)</t>
        </is>
      </c>
      <c r="G65" s="12" t="inlineStr">
        <is>
          <t>T2D</t>
        </is>
      </c>
      <c r="H65" s="12" t="inlineStr">
        <is>
          <t>FDA IND cleared; enrollment starting Q1 2026</t>
        </is>
      </c>
      <c r="I65" s="12" t="inlineStr">
        <is>
          <t>Enrolling</t>
        </is>
      </c>
      <c r="J65" s="12" t="n">
        <v>2026</v>
      </c>
      <c r="K65" s="12" t="inlineStr">
        <is>
          <t>https://www.prnewswire.com/news-releases/ascletis-announces-us-fda-ind-clearance-for-13-week-phase-ii-study-of-its-oral-small-molecule-glp-1-asc30-in-participants-with-diabetes-302652107.html</t>
        </is>
      </c>
    </row>
    <row r="66">
      <c r="A66" s="12" t="inlineStr">
        <is>
          <t>T1D</t>
        </is>
      </c>
      <c r="B66" s="12" t="inlineStr">
        <is>
          <t>Cure - Immune Protection</t>
        </is>
      </c>
      <c r="C66" s="12" t="inlineStr">
        <is>
          <t>MUSC Two-Part Cure (CAR-Treg + Stem Cell Islets)</t>
        </is>
      </c>
      <c r="D66" s="12" t="inlineStr">
        <is>
          <t>MUSC / Breakthrough T1D</t>
        </is>
      </c>
      <c r="E66" s="12" t="inlineStr">
        <is>
          <t>Lab-made insulin-producing cells + engineered immune bodyguard cells</t>
        </is>
      </c>
      <c r="F66" s="12" t="inlineStr">
        <is>
          <t>Preclinical ($1M grant)</t>
        </is>
      </c>
      <c r="G66" s="12" t="inlineStr">
        <is>
          <t>T1D functional cure without immunosuppression</t>
        </is>
      </c>
      <c r="H66" s="12" t="inlineStr">
        <is>
          <t>$1M Breakthrough T1D grant (2026); two-part approach</t>
        </is>
      </c>
      <c r="I66" s="12" t="inlineStr">
        <is>
          <t>Preclinical</t>
        </is>
      </c>
      <c r="J66" s="12" t="n">
        <v>2026</v>
      </c>
      <c r="K66" s="12" t="inlineStr">
        <is>
          <t>https://www.sciencedaily.com/releases/2026/03/260302030648.htm</t>
        </is>
      </c>
    </row>
    <row r="67">
      <c r="A67" s="12" t="inlineStr">
        <is>
          <t>T1D</t>
        </is>
      </c>
      <c r="B67" s="12" t="inlineStr">
        <is>
          <t>Prevention</t>
        </is>
      </c>
      <c r="C67" s="12" t="inlineStr">
        <is>
          <t>Baricitinib (BARICADE Phase 3)</t>
        </is>
      </c>
      <c r="D67" s="12" t="inlineStr">
        <is>
          <t>Eli Lilly</t>
        </is>
      </c>
      <c r="E67" s="12" t="inlineStr">
        <is>
          <t>JAK inhibitor for delay of Stage 3 T1D</t>
        </is>
      </c>
      <c r="F67" s="12" t="inlineStr">
        <is>
          <t>Phase 3 (NCT07222137)</t>
        </is>
      </c>
      <c r="G67" s="12" t="inlineStr">
        <is>
          <t>Delay Stage 3 T1D onset</t>
        </is>
      </c>
      <c r="H67" s="12" t="inlineStr">
        <is>
          <t>Phase 3 recruiting; JAK inhibitor preservation of beta cell function</t>
        </is>
      </c>
      <c r="I67" s="12" t="inlineStr">
        <is>
          <t>Recruiting</t>
        </is>
      </c>
      <c r="J67" s="12" t="n">
        <v>2026</v>
      </c>
      <c r="K67" s="12" t="inlineStr">
        <is>
          <t>https://clinicaltrials.gov/study/NCT07222137</t>
        </is>
      </c>
    </row>
    <row r="68">
      <c r="A68" s="25" t="inlineStr">
        <is>
          <t>T1D</t>
        </is>
      </c>
      <c r="B68" s="25" t="inlineStr">
        <is>
          <t>Immunotherapy</t>
        </is>
      </c>
      <c r="C68" s="25" t="inlineStr">
        <is>
          <t>Rezpegaldesleukin (NKTR-358)</t>
        </is>
      </c>
      <c r="D68" s="25" t="inlineStr">
        <is>
          <t>Nektar Therapeutics</t>
        </is>
      </c>
      <c r="E68" s="25" t="inlineStr">
        <is>
          <t>IL-2 conjugate for selective Treg expansion</t>
        </is>
      </c>
      <c r="F68" s="25" t="inlineStr">
        <is>
          <t>Phase (TBD) (NCT07142252)</t>
        </is>
      </c>
      <c r="G68" s="25" t="inlineStr">
        <is>
          <t>New Onset T1D</t>
        </is>
      </c>
      <c r="H68" s="25" t="inlineStr">
        <is>
          <t>IL-2 pathway Treg expansion; began recruiting April 2026</t>
        </is>
      </c>
      <c r="I68" s="25" t="inlineStr">
        <is>
          <t>Recruiting</t>
        </is>
      </c>
      <c r="J68" s="25" t="n">
        <v>2026</v>
      </c>
      <c r="K68" s="25" t="inlineStr">
        <is>
          <t>https://clinicaltrials.gov/study/NCT07142252</t>
        </is>
      </c>
    </row>
    <row r="69">
      <c r="A69" s="25" t="inlineStr">
        <is>
          <t>T2D</t>
        </is>
      </c>
      <c r="B69" s="25" t="inlineStr">
        <is>
          <t>Biosimilar</t>
        </is>
      </c>
      <c r="C69" s="25" t="inlineStr">
        <is>
          <t>Merilog (Biosimilar Insulin Aspart)</t>
        </is>
      </c>
      <c r="D69" s="25" t="inlineStr">
        <is>
          <t>FDA-approved biosimilar</t>
        </is>
      </c>
      <c r="E69" s="25" t="inlineStr">
        <is>
          <t>Biosimilar of insulin aspart (Novolog)</t>
        </is>
      </c>
      <c r="F69" s="25" t="inlineStr">
        <is>
          <t>FDA Approved (Mar 2026)</t>
        </is>
      </c>
      <c r="G69" s="25" t="inlineStr">
        <is>
          <t>Diabetes (T1D/T2D)</t>
        </is>
      </c>
      <c r="H69" s="25" t="inlineStr">
        <is>
          <t>Biosimilar insulin aspart; expands insulin access options</t>
        </is>
      </c>
      <c r="I69" s="25" t="inlineStr">
        <is>
          <t>Approved</t>
        </is>
      </c>
      <c r="J69" s="25" t="n">
        <v>2026</v>
      </c>
      <c r="K69" s="25" t="inlineStr">
        <is>
          <t>https://www.hcplive.com/view/fda-approves-merilog-biosimilar-product-insulin-aspart-novolog-diabetes</t>
        </is>
      </c>
    </row>
    <row r="70">
      <c r="A70" s="25" t="inlineStr">
        <is>
          <t>T2D</t>
        </is>
      </c>
      <c r="B70" s="25" t="inlineStr">
        <is>
          <t>Novel Insulin</t>
        </is>
      </c>
      <c r="C70" s="25" t="inlineStr">
        <is>
          <t>Awiqli (Insulin Icodec)</t>
        </is>
      </c>
      <c r="D70" s="25" t="inlineStr">
        <is>
          <t>Novo Nordisk</t>
        </is>
      </c>
      <c r="E70" s="25" t="inlineStr">
        <is>
          <t>Once-weekly basal insulin</t>
        </is>
      </c>
      <c r="F70" s="25" t="inlineStr">
        <is>
          <t>FDA Approved (Mar 27, 2026)</t>
        </is>
      </c>
      <c r="G70" s="25" t="inlineStr">
        <is>
          <t>T2D glycemic control</t>
        </is>
      </c>
      <c r="H70" s="25" t="inlineStr">
        <is>
          <t>First once-weekly basal insulin; reduces injections from 7 to 1 per week; nationwide availability H2 2026</t>
        </is>
      </c>
      <c r="I70" s="25" t="inlineStr">
        <is>
          <t>Approved</t>
        </is>
      </c>
      <c r="J70" s="25" t="n">
        <v>2026</v>
      </c>
      <c r="K70" s="25" t="inlineStr">
        <is>
          <t>https://www.roi-nj.com/2026/04/02/healthcare/fda-approves-novo-nordisks-awiqli-a-once-weekly-basal-insulin-treatment-for-adults-with-type-2-diabetes/</t>
        </is>
      </c>
    </row>
    <row r="71">
      <c r="A71" s="25" t="inlineStr">
        <is>
          <t>T2D</t>
        </is>
      </c>
      <c r="B71" s="25" t="inlineStr">
        <is>
          <t>Technology</t>
        </is>
      </c>
      <c r="C71" s="25" t="inlineStr">
        <is>
          <t>MiniMed Flex AID System</t>
        </is>
      </c>
      <c r="D71" s="25" t="inlineStr">
        <is>
          <t>Medtronic</t>
        </is>
      </c>
      <c r="E71" s="25" t="inlineStr">
        <is>
          <t>Automated insulin delivery system</t>
        </is>
      </c>
      <c r="F71" s="25" t="inlineStr">
        <is>
          <t>FDA Cleared (Mar 18, 2026)</t>
        </is>
      </c>
      <c r="G71" s="25" t="inlineStr">
        <is>
          <t>T1D (≥7yr) and insulin-requiring T2D</t>
        </is>
      </c>
      <c r="H71" s="25" t="inlineStr">
        <is>
          <t>New AID system cleared for ages ≥7 with T1D and adults with insulin-requiring T2D</t>
        </is>
      </c>
      <c r="I71" s="25" t="inlineStr">
        <is>
          <t>Approved</t>
        </is>
      </c>
      <c r="J71" s="25" t="n">
        <v>2026</v>
      </c>
      <c r="K71" s="25" t="inlineStr">
        <is>
          <t>https://news.medtronic.com/</t>
        </is>
      </c>
    </row>
    <row r="72">
      <c r="A72" s="25" t="inlineStr">
        <is>
          <t>T2D</t>
        </is>
      </c>
      <c r="B72" s="25" t="inlineStr">
        <is>
          <t>Novel Mechanism</t>
        </is>
      </c>
      <c r="C72" s="25" t="inlineStr">
        <is>
          <t>Icovamenib (Biomea Fusion)</t>
        </is>
      </c>
      <c r="D72" s="25" t="inlineStr">
        <is>
          <t>Biomea Fusion</t>
        </is>
      </c>
      <c r="E72" s="25" t="inlineStr">
        <is>
          <t>Menin inhibitor for beta cell regeneration</t>
        </is>
      </c>
      <c r="F72" s="25" t="inlineStr">
        <is>
          <t>Phase 2 (NCT07502495, NCT07502508)</t>
        </is>
      </c>
      <c r="G72" s="25" t="inlineStr">
        <is>
          <t>T2D beta cell restoration</t>
        </is>
      </c>
      <c r="H72" s="25" t="inlineStr">
        <is>
          <t>Novel menin inhibitor; Phase 2 expansion initiated April 2026</t>
        </is>
      </c>
      <c r="I72" s="25" t="inlineStr">
        <is>
          <t>Recruiting</t>
        </is>
      </c>
      <c r="J72" s="25" t="n">
        <v>2026</v>
      </c>
      <c r="K72" s="25" t="inlineStr">
        <is>
          <t>https://clinicaltrials.gov/study/NCT07502495</t>
        </is>
      </c>
    </row>
    <row r="73">
      <c r="A73" s="26" t="inlineStr">
        <is>
          <t>T2D</t>
        </is>
      </c>
      <c r="B73" s="26" t="inlineStr">
        <is>
          <t>Insulin - Weekly Basal</t>
        </is>
      </c>
      <c r="C73" s="26" t="inlineStr">
        <is>
          <t>Awiqli (insulin icodec)</t>
        </is>
      </c>
      <c r="D73" s="26" t="inlineStr">
        <is>
          <t>Novo Nordisk</t>
        </is>
      </c>
      <c r="E73" s="26" t="inlineStr">
        <is>
          <t>Once-weekly basal insulin</t>
        </is>
      </c>
      <c r="F73" s="26" t="inlineStr">
        <is>
          <t>Approved</t>
        </is>
      </c>
      <c r="G73" s="26" t="inlineStr">
        <is>
          <t>Reduce injection burden</t>
        </is>
      </c>
      <c r="H73" s="26" t="inlineStr">
        <is>
          <t>FDA approved March 2026 — first once-weekly basal insulin for T2D. Phase 3 trial NCT07076199 testing in T1D.</t>
        </is>
      </c>
      <c r="I73" s="26" t="inlineStr">
        <is>
          <t>FDA Approved (T2D)</t>
        </is>
      </c>
      <c r="J73" s="26" t="n">
        <v>2026</v>
      </c>
      <c r="K73" s="26" t="inlineStr">
        <is>
          <t>https://www.prnewswire.com/news-releases/fda-approves-novo-nordisks-awiqli-the-first-and-only-once-weekly-basal-insulin-treatment-for-adults-with-type-2-diabetes-302726839.html</t>
        </is>
      </c>
    </row>
    <row r="74">
      <c r="A74" s="26" t="inlineStr">
        <is>
          <t>T2D</t>
        </is>
      </c>
      <c r="B74" s="26" t="inlineStr">
        <is>
          <t>SGLT2i - Generic Access</t>
        </is>
      </c>
      <c r="C74" s="26" t="inlineStr">
        <is>
          <t>Generic Dapagliflozin (Farxiga)</t>
        </is>
      </c>
      <c r="D74" s="26" t="inlineStr">
        <is>
          <t>Multiple (FDA generic approval)</t>
        </is>
      </c>
      <c r="E74" s="26" t="inlineStr">
        <is>
          <t>SGLT2 inhibition</t>
        </is>
      </c>
      <c r="F74" s="26" t="inlineStr">
        <is>
          <t>Approved</t>
        </is>
      </c>
      <c r="G74" s="26" t="inlineStr">
        <is>
          <t>Broaden SGLT2i access</t>
        </is>
      </c>
      <c r="H74" s="26" t="inlineStr">
        <is>
          <t>First generics of Farxiga approved April 2026 for HF risk reduction in T2D + glycemic control. Increases access.</t>
        </is>
      </c>
      <c r="I74" s="26" t="inlineStr">
        <is>
          <t>FDA Approved (Generic)</t>
        </is>
      </c>
      <c r="J74" s="26" t="n">
        <v>2026</v>
      </c>
      <c r="K74" s="26" t="inlineStr">
        <is>
          <t>https://www.fda.gov/drugs/drug-alerts-and-statements/fda-approves-first-generic-dapagliflozin-tablets</t>
        </is>
      </c>
    </row>
    <row r="75">
      <c r="A75" s="26" t="inlineStr">
        <is>
          <t>T2D</t>
        </is>
      </c>
      <c r="B75" s="26" t="inlineStr">
        <is>
          <t>SGLT2i + Metformin - Generic</t>
        </is>
      </c>
      <c r="C75" s="26" t="inlineStr">
        <is>
          <t>Generic Dapagliflozin-Metformin</t>
        </is>
      </c>
      <c r="D75" s="26" t="inlineStr">
        <is>
          <t>Lupin</t>
        </is>
      </c>
      <c r="E75" s="26" t="inlineStr">
        <is>
          <t>SGLT2i + biguanide combo</t>
        </is>
      </c>
      <c r="F75" s="26" t="inlineStr">
        <is>
          <t>Approved</t>
        </is>
      </c>
      <c r="G75" s="26" t="inlineStr">
        <is>
          <t>Lower-cost T2D combo</t>
        </is>
      </c>
      <c r="H75" s="26" t="inlineStr">
        <is>
          <t>Lupin FDA approval April 8, 2026. Lower-cost combination for T2D management.</t>
        </is>
      </c>
      <c r="I75" s="26" t="inlineStr">
        <is>
          <t>FDA Approved (Generic)</t>
        </is>
      </c>
      <c r="J75" s="26" t="n">
        <v>2026</v>
      </c>
      <c r="K75" s="26" t="inlineStr">
        <is>
          <t>https://www.prismnews.com/news/lupin-wins-fda-approval-for-generic-dapagliflozin-metformin</t>
        </is>
      </c>
    </row>
    <row r="76">
      <c r="A76" s="26" t="inlineStr">
        <is>
          <t>Cross</t>
        </is>
      </c>
      <c r="B76" s="26" t="inlineStr">
        <is>
          <t>GLP-1 - Oral</t>
        </is>
      </c>
      <c r="C76" s="26" t="inlineStr">
        <is>
          <t>Oral Semaglutide 25mg (Wegovy)</t>
        </is>
      </c>
      <c r="D76" s="26" t="inlineStr">
        <is>
          <t>Novo Nordisk</t>
        </is>
      </c>
      <c r="E76" s="26" t="inlineStr">
        <is>
          <t>Oral GLP-1 RA for weight loss</t>
        </is>
      </c>
      <c r="F76" s="26" t="inlineStr">
        <is>
          <t>Approved</t>
        </is>
      </c>
      <c r="G76" s="26" t="inlineStr">
        <is>
          <t>First oral GLP-1 for weight management</t>
        </is>
      </c>
      <c r="H76" s="26" t="inlineStr">
        <is>
          <t>FDA approved late 2025/early 2026. First GLP-1 pill for weight loss. Launched in US Jan 2026.</t>
        </is>
      </c>
      <c r="I76" s="26" t="inlineStr">
        <is>
          <t>FDA Approved</t>
        </is>
      </c>
      <c r="J76" s="26" t="n">
        <v>2026</v>
      </c>
      <c r="K76" s="26" t="inlineStr">
        <is>
          <t>https://www.ajmc.com/view/fda-approves-oral-semaglutide-as-first-glp-1-pill-for-weight-loss</t>
        </is>
      </c>
    </row>
    <row r="77">
      <c r="A77" s="12" t="inlineStr">
        <is>
          <t>T2D</t>
        </is>
      </c>
      <c r="B77" s="12" t="inlineStr">
        <is>
          <t>Insulin</t>
        </is>
      </c>
      <c r="C77" s="12" t="inlineStr">
        <is>
          <t>Awiqli (Insulin Icodec)</t>
        </is>
      </c>
      <c r="D77" s="12" t="inlineStr">
        <is>
          <t>Novo Nordisk</t>
        </is>
      </c>
      <c r="E77" s="12" t="inlineStr">
        <is>
          <t>Once-weekly basal insulin</t>
        </is>
      </c>
      <c r="F77" s="12" t="inlineStr">
        <is>
          <t>FDA Approved</t>
        </is>
      </c>
      <c r="G77" s="12" t="inlineStr">
        <is>
          <t>Glycemic control (weekly dosing)</t>
        </is>
      </c>
      <c r="H77" s="12" t="inlineStr">
        <is>
          <t>FDA approved March 26, 2026. First weekly insulin. Reduces injections 365→52/yr. Based on 4 ONWARDS trials (n=2,680). T2D only.</t>
        </is>
      </c>
      <c r="I77" s="12" t="inlineStr">
        <is>
          <t>FDA APPROVED</t>
        </is>
      </c>
      <c r="J77" s="12" t="n">
        <v>2026</v>
      </c>
      <c r="K77" s="12" t="inlineStr">
        <is>
          <t>https://www.prnewswire.com/news-releases/fda-approves-novo-nordisks-awiqli-the-first-and-only-once-weekly-basal-insulin-treatment-for-adults-with-type-2-diabetes-302726839.html</t>
        </is>
      </c>
    </row>
    <row r="78">
      <c r="A78" s="12" t="inlineStr">
        <is>
          <t>T2D</t>
        </is>
      </c>
      <c r="B78" s="12" t="inlineStr">
        <is>
          <t>SGLT2 Inhibitor</t>
        </is>
      </c>
      <c r="C78" s="12" t="inlineStr">
        <is>
          <t>Generic Dapagliflozin (Farxiga)</t>
        </is>
      </c>
      <c r="D78" s="12" t="inlineStr">
        <is>
          <t>Multiple (Biocon, Lupin, others)</t>
        </is>
      </c>
      <c r="E78" s="12" t="inlineStr">
        <is>
          <t>SGLT2 inhibitor (generic)</t>
        </is>
      </c>
      <c r="F78" s="12" t="inlineStr">
        <is>
          <t>FDA Approved</t>
        </is>
      </c>
      <c r="G78" s="12" t="inlineStr">
        <is>
          <t>HF hospitalization / glycemic control</t>
        </is>
      </c>
      <c r="H78" s="12" t="inlineStr">
        <is>
          <t>First SGLT2i generic approved April 7, 2026. 5mg and 10mg tablets. Major health equity milestone.</t>
        </is>
      </c>
      <c r="I78" s="12" t="inlineStr">
        <is>
          <t>FDA APPROVED</t>
        </is>
      </c>
      <c r="J78" s="12" t="n">
        <v>2026</v>
      </c>
      <c r="K78" s="12" t="inlineStr">
        <is>
          <t>https://www.fda.gov/drugs/drug-alerts-and-statements/fda-approves-first-generic-dapagliflozin-tablets</t>
        </is>
      </c>
    </row>
    <row r="79">
      <c r="A79" s="12" t="inlineStr">
        <is>
          <t>T1D/T2D</t>
        </is>
      </c>
      <c r="B79" s="12" t="inlineStr">
        <is>
          <t>GLP-1 Pharmacogenomics</t>
        </is>
      </c>
      <c r="C79" s="12" t="inlineStr">
        <is>
          <t>PAM Variant GLP-1 Resistance</t>
        </is>
      </c>
      <c r="D79" s="12" t="inlineStr">
        <is>
          <t>Stanford University</t>
        </is>
      </c>
      <c r="E79" s="12" t="inlineStr">
        <is>
          <t>PAM enzyme variants reduce GLP-1 bioactivity</t>
        </is>
      </c>
      <c r="F79" s="12" t="inlineStr">
        <is>
          <t>Published</t>
        </is>
      </c>
      <c r="G79" s="12" t="inlineStr">
        <is>
          <t>Pharmacogenomics / precision medicine</t>
        </is>
      </c>
      <c r="H79" s="12" t="inlineStr">
        <is>
          <t>~10% carry PAM variants causing GLP-1 resistance. Meta-analysis (n=1,119) showed lower HbA1c response. Genome Medicine, March 2026.</t>
        </is>
      </c>
      <c r="I79" s="12" t="inlineStr">
        <is>
          <t>Published — Monitoring</t>
        </is>
      </c>
      <c r="J79" s="12" t="n">
        <v>2026</v>
      </c>
      <c r="K79" s="12" t="inlineStr">
        <is>
          <t>https://med.stanford.edu/news/all-news/2026/04/glp-1-diabetes.html</t>
        </is>
      </c>
    </row>
    <row r="80">
      <c r="A80" s="12" t="inlineStr">
        <is>
          <t>T1D</t>
        </is>
      </c>
      <c r="B80" s="12" t="inlineStr">
        <is>
          <t>GLP-1 — CV/Kidney</t>
        </is>
      </c>
      <c r="C80" s="12" t="inlineStr">
        <is>
          <t>GLP-1 RA CV/Kidney Outcomes in T1D</t>
        </is>
      </c>
      <c r="D80" s="12" t="inlineStr">
        <is>
          <t>Johns Hopkins Bloomberg SPH</t>
        </is>
      </c>
      <c r="E80" s="12" t="inlineStr">
        <is>
          <t>GLP-1 RA cardiorenal protection in T1D</t>
        </is>
      </c>
      <c r="F80" s="12" t="inlineStr">
        <is>
          <t>Published</t>
        </is>
      </c>
      <c r="G80" s="12" t="inlineStr">
        <is>
          <t>CV event reduction / kidney protection</t>
        </is>
      </c>
      <c r="H80" s="12" t="inlineStr">
        <is>
          <t>175K-patient study: 15% CV event reduction, 19% ESKD reduction, 16% mortality reduction in T1D. Nature Medicine, April 2026.</t>
        </is>
      </c>
      <c r="I80" s="12" t="inlineStr">
        <is>
          <t>Published — Monitoring</t>
        </is>
      </c>
      <c r="J80" s="12" t="n">
        <v>2026</v>
      </c>
      <c r="K80" s="12" t="inlineStr">
        <is>
          <t>https://www.nature.com/articles/s41591-026-04274-0</t>
        </is>
      </c>
    </row>
  </sheetData>
  <autoFilter ref="A1:K5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8" customWidth="1" style="12" min="1" max="1"/>
    <col width="16" customWidth="1" style="12" min="2" max="3"/>
    <col width="45" customWidth="1" style="12" min="4" max="4"/>
    <col width="42" customWidth="1" style="12" min="5" max="5"/>
    <col width="14" customWidth="1" style="12" min="6" max="6"/>
    <col width="28" customWidth="1" style="12" min="7" max="7"/>
  </cols>
  <sheetData>
    <row r="1" ht="15" customHeight="1" s="13">
      <c r="A1" s="19" t="inlineStr">
        <is>
          <t>Resource Name</t>
        </is>
      </c>
      <c r="B1" s="19" t="inlineStr">
        <is>
          <t>Type</t>
        </is>
      </c>
      <c r="C1" s="19" t="inlineStr">
        <is>
          <t>Focus Area</t>
        </is>
      </c>
      <c r="D1" s="19" t="inlineStr">
        <is>
          <t>Description</t>
        </is>
      </c>
      <c r="E1" s="19" t="inlineStr">
        <is>
          <t>Access URL</t>
        </is>
      </c>
      <c r="F1" s="19" t="inlineStr">
        <is>
          <t>Data Type</t>
        </is>
      </c>
      <c r="G1" s="19" t="inlineStr">
        <is>
          <t>Notes</t>
        </is>
      </c>
    </row>
    <row r="2" ht="15" customHeight="1" s="13">
      <c r="A2" s="15" t="inlineStr">
        <is>
          <t>UK Biobank Proteomics Portal</t>
        </is>
      </c>
      <c r="B2" s="15" t="inlineStr">
        <is>
          <t>Proteomics</t>
        </is>
      </c>
      <c r="C2" s="15" t="inlineStr">
        <is>
          <t>T2D</t>
        </is>
      </c>
      <c r="D2" s="15" t="inlineStr">
        <is>
          <t>2,922 proteins vs T2D polygenic scores</t>
        </is>
      </c>
      <c r="E2" s="16" t="inlineStr">
        <is>
          <t>https://public.cgr.astrazeneca.com/t2d-pgs/v1/</t>
        </is>
      </c>
      <c r="F2" s="15" t="inlineStr">
        <is>
          <t>Interactive</t>
        </is>
      </c>
      <c r="G2" s="15" t="inlineStr">
        <is>
          <t>AstraZeneca/CGR portal</t>
        </is>
      </c>
    </row>
    <row r="3" ht="15" customHeight="1" s="13">
      <c r="A3" s="17" t="inlineStr">
        <is>
          <t>T1D Knowledge Portal</t>
        </is>
      </c>
      <c r="B3" s="17" t="inlineStr">
        <is>
          <t>Multi-Omics</t>
        </is>
      </c>
      <c r="C3" s="17" t="inlineStr">
        <is>
          <t>T1D</t>
        </is>
      </c>
      <c r="D3" s="17" t="inlineStr">
        <is>
          <t>Aggregated genetic and genomic data for T1D</t>
        </is>
      </c>
      <c r="E3" s="18" t="inlineStr">
        <is>
          <t>https://t1d.hugeamp.org/</t>
        </is>
      </c>
      <c r="F3" s="17" t="inlineStr">
        <is>
          <t>Summary Stats</t>
        </is>
      </c>
      <c r="G3" s="17" t="inlineStr">
        <is>
          <t>Free access</t>
        </is>
      </c>
    </row>
    <row r="4" ht="23.85" customHeight="1" s="13">
      <c r="A4" s="15" t="inlineStr">
        <is>
          <t>T2D Knowledge Portal (AMP-T2D)</t>
        </is>
      </c>
      <c r="B4" s="15" t="inlineStr">
        <is>
          <t>Multi-Omics</t>
        </is>
      </c>
      <c r="C4" s="15" t="inlineStr">
        <is>
          <t>T2D</t>
        </is>
      </c>
      <c r="D4" s="15" t="inlineStr">
        <is>
          <t>Genetic, epigenomic, clinical data for T2D</t>
        </is>
      </c>
      <c r="E4" s="16" t="inlineStr">
        <is>
          <t>https://t2d.hugeamp.org/</t>
        </is>
      </c>
      <c r="F4" s="15" t="inlineStr">
        <is>
          <t>Summary Stats</t>
        </is>
      </c>
      <c r="G4" s="15" t="inlineStr">
        <is>
          <t>Consortium data</t>
        </is>
      </c>
    </row>
    <row r="5" ht="15" customHeight="1" s="13">
      <c r="A5" s="17" t="inlineStr">
        <is>
          <t>DIAGRAM Consortium</t>
        </is>
      </c>
      <c r="B5" s="17" t="inlineStr">
        <is>
          <t>Genomics</t>
        </is>
      </c>
      <c r="C5" s="17" t="inlineStr">
        <is>
          <t>T2D</t>
        </is>
      </c>
      <c r="D5" s="17" t="inlineStr">
        <is>
          <t>Large-scale GWAS meta-analyses for T2D</t>
        </is>
      </c>
      <c r="E5" s="18" t="inlineStr">
        <is>
          <t>https://diagram-consortium.org/</t>
        </is>
      </c>
      <c r="F5" s="17" t="inlineStr">
        <is>
          <t>Summary Stats</t>
        </is>
      </c>
      <c r="G5" s="17" t="inlineStr">
        <is>
          <t>Downloadable</t>
        </is>
      </c>
    </row>
    <row r="6" ht="15" customHeight="1" s="13">
      <c r="A6" s="15" t="inlineStr">
        <is>
          <t>GWAS Catalog (EBI)</t>
        </is>
      </c>
      <c r="B6" s="15" t="inlineStr">
        <is>
          <t>Genomics</t>
        </is>
      </c>
      <c r="C6" s="15" t="inlineStr">
        <is>
          <t>T1D/T2D</t>
        </is>
      </c>
      <c r="D6" s="15" t="inlineStr">
        <is>
          <t>Curated genome-wide association studies</t>
        </is>
      </c>
      <c r="E6" s="16" t="inlineStr">
        <is>
          <t>https://www.ebi.ac.uk/gwas/</t>
        </is>
      </c>
      <c r="F6" s="15" t="inlineStr">
        <is>
          <t>Catalog</t>
        </is>
      </c>
      <c r="G6" s="15" t="inlineStr">
        <is>
          <t>Search by trait</t>
        </is>
      </c>
    </row>
    <row r="7" ht="15" customHeight="1" s="13">
      <c r="A7" s="17" t="inlineStr">
        <is>
          <t>ClinicalTrials.gov</t>
        </is>
      </c>
      <c r="B7" s="17" t="inlineStr">
        <is>
          <t>Clinical Trials</t>
        </is>
      </c>
      <c r="C7" s="17" t="inlineStr">
        <is>
          <t>T1D/T2D</t>
        </is>
      </c>
      <c r="D7" s="17" t="inlineStr">
        <is>
          <t>Global registry of diabetes clinical trials</t>
        </is>
      </c>
      <c r="E7" s="18" t="inlineStr">
        <is>
          <t>https://clinicaltrials.gov/search?cond=diabetes</t>
        </is>
      </c>
      <c r="F7" s="17" t="inlineStr">
        <is>
          <t>Registry</t>
        </is>
      </c>
      <c r="G7" s="17" t="inlineStr">
        <is>
          <t>Filter by phase/status</t>
        </is>
      </c>
    </row>
    <row r="8" ht="15" customHeight="1" s="13">
      <c r="A8" s="15" t="inlineStr">
        <is>
          <t>OpenTargets Platform</t>
        </is>
      </c>
      <c r="B8" s="15" t="inlineStr">
        <is>
          <t>Drug Targets</t>
        </is>
      </c>
      <c r="C8" s="15" t="inlineStr">
        <is>
          <t>T1D/T2D</t>
        </is>
      </c>
      <c r="D8" s="15" t="inlineStr">
        <is>
          <t>Evidence-based target identification</t>
        </is>
      </c>
      <c r="E8" s="16" t="inlineStr">
        <is>
          <t>https://www.opentargets.org/</t>
        </is>
      </c>
      <c r="F8" s="15" t="inlineStr">
        <is>
          <t>Interactive</t>
        </is>
      </c>
      <c r="G8" s="15" t="inlineStr">
        <is>
          <t>Disease-target associations</t>
        </is>
      </c>
    </row>
    <row r="9" ht="15" customHeight="1" s="13">
      <c r="A9" s="17" t="inlineStr">
        <is>
          <t>Human Protein Atlas</t>
        </is>
      </c>
      <c r="B9" s="17" t="inlineStr">
        <is>
          <t>Proteomics</t>
        </is>
      </c>
      <c r="C9" s="17" t="inlineStr">
        <is>
          <t>General</t>
        </is>
      </c>
      <c r="D9" s="17" t="inlineStr">
        <is>
          <t>Protein expression across tissues incl. pancreas</t>
        </is>
      </c>
      <c r="E9" s="18" t="inlineStr">
        <is>
          <t>https://www.proteinatlas.org/</t>
        </is>
      </c>
      <c r="F9" s="17" t="inlineStr">
        <is>
          <t>Expression</t>
        </is>
      </c>
      <c r="G9" s="17" t="inlineStr">
        <is>
          <t>Islet-specific data</t>
        </is>
      </c>
    </row>
    <row r="10" ht="23.85" customHeight="1" s="13">
      <c r="A10" s="15" t="inlineStr">
        <is>
          <t>GEO (Gene Expression Omnibus)</t>
        </is>
      </c>
      <c r="B10" s="15" t="inlineStr">
        <is>
          <t>Transcriptomics</t>
        </is>
      </c>
      <c r="C10" s="15" t="inlineStr">
        <is>
          <t>T1D/T2D</t>
        </is>
      </c>
      <c r="D10" s="15" t="inlineStr">
        <is>
          <t>Public gene expression datasets</t>
        </is>
      </c>
      <c r="E10" s="16" t="inlineStr">
        <is>
          <t>https://www.ncbi.nlm.nih.gov/geo/</t>
        </is>
      </c>
      <c r="F10" s="15" t="inlineStr">
        <is>
          <t>Microarray/RNAseq</t>
        </is>
      </c>
      <c r="G10" s="15" t="inlineStr">
        <is>
          <t>Search: diabetes, islet</t>
        </is>
      </c>
    </row>
    <row r="11" ht="23.85" customHeight="1" s="13">
      <c r="A11" s="17" t="inlineStr">
        <is>
          <t>Metabolomics Workbench</t>
        </is>
      </c>
      <c r="B11" s="17" t="inlineStr">
        <is>
          <t>Metabolomics</t>
        </is>
      </c>
      <c r="C11" s="17" t="inlineStr">
        <is>
          <t>T2D</t>
        </is>
      </c>
      <c r="D11" s="17" t="inlineStr">
        <is>
          <t>Metabolomics data repository</t>
        </is>
      </c>
      <c r="E11" s="18" t="inlineStr">
        <is>
          <t>https://www.metabolomicsworkbench.org/</t>
        </is>
      </c>
      <c r="F11" s="17" t="inlineStr">
        <is>
          <t>Raw + Processed</t>
        </is>
      </c>
      <c r="G11" s="17" t="inlineStr">
        <is>
          <t>Diabetes-specific studies</t>
        </is>
      </c>
    </row>
    <row r="12" ht="15" customHeight="1" s="13">
      <c r="A12" s="15" t="inlineStr">
        <is>
          <t>ENCODE Project</t>
        </is>
      </c>
      <c r="B12" s="15" t="inlineStr">
        <is>
          <t>Epigenomics</t>
        </is>
      </c>
      <c r="C12" s="15" t="inlineStr">
        <is>
          <t>General</t>
        </is>
      </c>
      <c r="D12" s="15" t="inlineStr">
        <is>
          <t>Encyclopedia of DNA elements</t>
        </is>
      </c>
      <c r="E12" s="16" t="inlineStr">
        <is>
          <t>https://www.encodeproject.org/</t>
        </is>
      </c>
      <c r="F12" s="15" t="inlineStr">
        <is>
          <t>Regulatory</t>
        </is>
      </c>
      <c r="G12" s="15" t="inlineStr">
        <is>
          <t>Islet regulatory elements</t>
        </is>
      </c>
    </row>
    <row r="13" ht="15" customHeight="1" s="13">
      <c r="A13" s="17" t="inlineStr">
        <is>
          <t>PubMed / PMC</t>
        </is>
      </c>
      <c r="B13" s="17" t="inlineStr">
        <is>
          <t>Literature</t>
        </is>
      </c>
      <c r="C13" s="17" t="inlineStr">
        <is>
          <t>T1D/T2D</t>
        </is>
      </c>
      <c r="D13" s="17" t="inlineStr">
        <is>
          <t>Biomedical literature database</t>
        </is>
      </c>
      <c r="E13" s="18" t="inlineStr">
        <is>
          <t>https://pubmed.ncbi.nlm.nih.gov/</t>
        </is>
      </c>
      <c r="F13" s="17" t="inlineStr">
        <is>
          <t>Literature</t>
        </is>
      </c>
      <c r="G13" s="17" t="inlineStr">
        <is>
          <t>MeSH term searches</t>
        </is>
      </c>
    </row>
    <row r="14" ht="15" customHeight="1" s="13">
      <c r="A14" s="15" t="inlineStr">
        <is>
          <t>DIAMANTE GWAS Results</t>
        </is>
      </c>
      <c r="B14" s="15" t="inlineStr">
        <is>
          <t>Genomics</t>
        </is>
      </c>
      <c r="C14" s="15" t="inlineStr">
        <is>
          <t>T2D</t>
        </is>
      </c>
      <c r="D14" s="15" t="inlineStr">
        <is>
          <t>Multi-ethnic T2D GWAS meta-analysis</t>
        </is>
      </c>
      <c r="E14" s="16" t="inlineStr">
        <is>
          <t>https://www.diagram-consortium.org/</t>
        </is>
      </c>
      <c r="F14" s="15" t="inlineStr">
        <is>
          <t>Summary Stats</t>
        </is>
      </c>
      <c r="G14" s="15" t="inlineStr">
        <is>
          <t>1,120 CpGs identified</t>
        </is>
      </c>
    </row>
    <row r="15" ht="15" customHeight="1" s="13">
      <c r="A15" s="17" t="inlineStr">
        <is>
          <t>UK Biobank</t>
        </is>
      </c>
      <c r="B15" s="17" t="inlineStr">
        <is>
          <t>Multi-Omics</t>
        </is>
      </c>
      <c r="C15" s="17" t="inlineStr">
        <is>
          <t>T1D/T2D</t>
        </is>
      </c>
      <c r="D15" s="17" t="inlineStr">
        <is>
          <t>500K participant cohort with genomic + phenotype data</t>
        </is>
      </c>
      <c r="E15" s="18" t="inlineStr">
        <is>
          <t>https://www.ukbiobank.ac.uk/</t>
        </is>
      </c>
      <c r="F15" s="17" t="inlineStr">
        <is>
          <t>Multi-modal</t>
        </is>
      </c>
      <c r="G15" s="17" t="inlineStr">
        <is>
          <t>Application required</t>
        </is>
      </c>
    </row>
    <row r="16" ht="15" customHeight="1" s="13">
      <c r="A16" s="15" t="inlineStr">
        <is>
          <t>dbGaP (NIDDK)</t>
        </is>
      </c>
      <c r="B16" s="15" t="inlineStr">
        <is>
          <t>Genomics</t>
        </is>
      </c>
      <c r="C16" s="15" t="inlineStr">
        <is>
          <t>T1D/T2D</t>
        </is>
      </c>
      <c r="D16" s="15" t="inlineStr">
        <is>
          <t>NIDDK-funded diabetes genomic datasets</t>
        </is>
      </c>
      <c r="E16" s="16" t="inlineStr">
        <is>
          <t>https://www.ncbi.nlm.nih.gov/gap/</t>
        </is>
      </c>
      <c r="F16" s="15" t="inlineStr">
        <is>
          <t>Genomic</t>
        </is>
      </c>
      <c r="G16" s="15" t="inlineStr">
        <is>
          <t>Controlled access</t>
        </is>
      </c>
    </row>
    <row r="17" ht="15" customHeight="1" s="13">
      <c r="A17" s="17" t="inlineStr">
        <is>
          <t>TrialNet</t>
        </is>
      </c>
      <c r="B17" s="17" t="inlineStr">
        <is>
          <t>Clinical</t>
        </is>
      </c>
      <c r="C17" s="17" t="inlineStr">
        <is>
          <t>T1D</t>
        </is>
      </c>
      <c r="D17" s="17" t="inlineStr">
        <is>
          <t>T1D prevention trial network and screening data</t>
        </is>
      </c>
      <c r="E17" s="18" t="inlineStr">
        <is>
          <t>https://www.trialnet.org/</t>
        </is>
      </c>
      <c r="F17" s="17" t="inlineStr">
        <is>
          <t>Clinical</t>
        </is>
      </c>
      <c r="G17" s="17" t="inlineStr">
        <is>
          <t>Autoantibody screening</t>
        </is>
      </c>
    </row>
    <row r="18" ht="15" customHeight="1" s="13">
      <c r="A18" s="15" t="inlineStr">
        <is>
          <t>TEDDY Study</t>
        </is>
      </c>
      <c r="B18" s="15" t="inlineStr">
        <is>
          <t>Longitudinal</t>
        </is>
      </c>
      <c r="C18" s="15" t="inlineStr">
        <is>
          <t>T1D</t>
        </is>
      </c>
      <c r="D18" s="15" t="inlineStr">
        <is>
          <t>Environmental triggers of T1D in genetically at-risk</t>
        </is>
      </c>
      <c r="E18" s="16" t="inlineStr">
        <is>
          <t>https://teddy.epi.usf.edu/</t>
        </is>
      </c>
      <c r="F18" s="15" t="inlineStr">
        <is>
          <t>Longitudinal</t>
        </is>
      </c>
      <c r="G18" s="15" t="inlineStr">
        <is>
          <t>Birth cohort data</t>
        </is>
      </c>
    </row>
    <row r="19" ht="15" customHeight="1" s="13">
      <c r="A19" s="17" t="inlineStr">
        <is>
          <t>Human Microbiome Project</t>
        </is>
      </c>
      <c r="B19" s="17" t="inlineStr">
        <is>
          <t>Microbiome</t>
        </is>
      </c>
      <c r="C19" s="17" t="inlineStr">
        <is>
          <t>T2D</t>
        </is>
      </c>
      <c r="D19" s="17" t="inlineStr">
        <is>
          <t>Reference microbiome datasets</t>
        </is>
      </c>
      <c r="E19" s="18" t="inlineStr">
        <is>
          <t>https://hmpdacc.org/</t>
        </is>
      </c>
      <c r="F19" s="17" t="inlineStr">
        <is>
          <t>Metagenomic</t>
        </is>
      </c>
      <c r="G19" s="17" t="inlineStr">
        <is>
          <t>Healthy + disease states</t>
        </is>
      </c>
    </row>
    <row r="20" ht="15" customHeight="1" s="13">
      <c r="A20" s="15" t="inlineStr">
        <is>
          <t>STRING Database</t>
        </is>
      </c>
      <c r="B20" s="15" t="inlineStr">
        <is>
          <t>Interactomics</t>
        </is>
      </c>
      <c r="C20" s="15" t="inlineStr">
        <is>
          <t>General</t>
        </is>
      </c>
      <c r="D20" s="15" t="inlineStr">
        <is>
          <t>Protein-protein interaction networks</t>
        </is>
      </c>
      <c r="E20" s="16" t="inlineStr">
        <is>
          <t>https://string-db.org/</t>
        </is>
      </c>
      <c r="F20" s="15" t="inlineStr">
        <is>
          <t>Network</t>
        </is>
      </c>
      <c r="G20" s="15" t="inlineStr">
        <is>
          <t>For pathway analysis</t>
        </is>
      </c>
    </row>
    <row r="21" ht="15" customHeight="1" s="13">
      <c r="A21" s="17" t="inlineStr">
        <is>
          <t>Reactome</t>
        </is>
      </c>
      <c r="B21" s="17" t="inlineStr">
        <is>
          <t>Pathways</t>
        </is>
      </c>
      <c r="C21" s="17" t="inlineStr">
        <is>
          <t>General</t>
        </is>
      </c>
      <c r="D21" s="17" t="inlineStr">
        <is>
          <t>Biological pathway database</t>
        </is>
      </c>
      <c r="E21" s="18" t="inlineStr">
        <is>
          <t>https://reactome.org/</t>
        </is>
      </c>
      <c r="F21" s="17" t="inlineStr">
        <is>
          <t>Pathway</t>
        </is>
      </c>
      <c r="G21" s="17" t="inlineStr">
        <is>
          <t>Insulin signaling pathways</t>
        </is>
      </c>
    </row>
    <row r="22" ht="15" customHeight="1" s="13">
      <c r="A22" s="15" t="inlineStr">
        <is>
          <t>AlphaFold Protein Structure DB</t>
        </is>
      </c>
      <c r="B22" s="15" t="inlineStr">
        <is>
          <t>Structural</t>
        </is>
      </c>
      <c r="C22" s="15" t="inlineStr">
        <is>
          <t>General</t>
        </is>
      </c>
      <c r="D22" s="15" t="inlineStr">
        <is>
          <t>Predicted 3D protein structures</t>
        </is>
      </c>
      <c r="E22" s="16" t="inlineStr">
        <is>
          <t>https://alphafold.ebi.ac.uk/</t>
        </is>
      </c>
      <c r="F22" s="15" t="inlineStr">
        <is>
          <t>3D Structure</t>
        </is>
      </c>
      <c r="G22" s="15" t="inlineStr">
        <is>
          <t>Drug target structures</t>
        </is>
      </c>
    </row>
    <row r="23" ht="15" customHeight="1" s="13">
      <c r="A23" s="17" t="inlineStr">
        <is>
          <t>DrugBank</t>
        </is>
      </c>
      <c r="B23" s="17" t="inlineStr">
        <is>
          <t>Pharmacology</t>
        </is>
      </c>
      <c r="C23" s="17" t="inlineStr">
        <is>
          <t>T1D/T2D</t>
        </is>
      </c>
      <c r="D23" s="17" t="inlineStr">
        <is>
          <t>Drug and target information</t>
        </is>
      </c>
      <c r="E23" s="18" t="inlineStr">
        <is>
          <t>https://go.drugbank.com/</t>
        </is>
      </c>
      <c r="F23" s="17" t="inlineStr">
        <is>
          <t>Drug Data</t>
        </is>
      </c>
      <c r="G23" s="17" t="inlineStr">
        <is>
          <t>Repurposing opportunities</t>
        </is>
      </c>
    </row>
  </sheetData>
  <autoFilter ref="A1:G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5" customWidth="1" style="12" min="1" max="1"/>
    <col width="20" customWidth="1" style="12" min="2" max="3"/>
    <col width="8" customWidth="1" style="12" min="4" max="4"/>
    <col width="12" customWidth="1" style="12" min="5" max="5"/>
    <col width="18" customWidth="1" style="12" min="6" max="6"/>
    <col width="40" customWidth="1" style="12" min="7" max="7"/>
    <col width="12" customWidth="1" style="12" min="8" max="8"/>
    <col width="8" customWidth="1" style="12" min="9" max="9"/>
    <col width="28" customWidth="1" style="12" min="10" max="10"/>
    <col width="35" customWidth="1" style="12" min="11" max="11"/>
  </cols>
  <sheetData>
    <row r="1" ht="26.85" customHeight="1" s="13">
      <c r="A1" s="20" t="inlineStr">
        <is>
          <t>Title</t>
        </is>
      </c>
      <c r="B1" s="20" t="inlineStr">
        <is>
          <t>Authors/Group</t>
        </is>
      </c>
      <c r="C1" s="20" t="inlineStr">
        <is>
          <t>Journal</t>
        </is>
      </c>
      <c r="D1" s="20" t="inlineStr">
        <is>
          <t>Year</t>
        </is>
      </c>
      <c r="E1" s="20" t="inlineStr">
        <is>
          <t>Domain</t>
        </is>
      </c>
      <c r="F1" s="20" t="inlineStr">
        <is>
          <t>Topic</t>
        </is>
      </c>
      <c r="G1" s="20" t="inlineStr">
        <is>
          <t>Key Finding</t>
        </is>
      </c>
      <c r="H1" s="20" t="inlineStr">
        <is>
          <t>Relevance (1-5)</t>
        </is>
      </c>
      <c r="I1" s="20" t="inlineStr">
        <is>
          <t>Read?</t>
        </is>
      </c>
      <c r="J1" s="20" t="inlineStr">
        <is>
          <t>Notes</t>
        </is>
      </c>
      <c r="K1" s="20" t="inlineStr">
        <is>
          <t>DOI / URL</t>
        </is>
      </c>
    </row>
    <row r="2" ht="23.85" customHeight="1" s="13">
      <c r="A2" s="15" t="inlineStr">
        <is>
          <t>Stem Cell–Derived Islets for T1D (Zimislecel)</t>
        </is>
      </c>
      <c r="B2" s="15" t="inlineStr">
        <is>
          <t>Vertex et al.</t>
        </is>
      </c>
      <c r="C2" s="15" t="inlineStr">
        <is>
          <t>NEJM</t>
        </is>
      </c>
      <c r="D2" s="15" t="n">
        <v>2025</v>
      </c>
      <c r="E2" s="15" t="inlineStr">
        <is>
          <t>T1D</t>
        </is>
      </c>
      <c r="F2" s="15" t="inlineStr">
        <is>
          <t>Stem Cell Therapy</t>
        </is>
      </c>
      <c r="G2" s="15" t="inlineStr">
        <is>
          <t>Phase 3 results for zimislecel</t>
        </is>
      </c>
      <c r="H2" s="15" t="n">
        <v>5</v>
      </c>
      <c r="I2" s="15" t="inlineStr">
        <is>
          <t>No</t>
        </is>
      </c>
      <c r="J2" s="15" t="n"/>
      <c r="K2" s="16" t="inlineStr">
        <is>
          <t>https://www.nejm.org/doi/full/10.1056/NEJMoa2506549</t>
        </is>
      </c>
    </row>
    <row r="3" ht="35.05" customHeight="1" s="13">
      <c r="A3" s="17" t="inlineStr">
        <is>
          <t>The future of type 1 diabetes therapy</t>
        </is>
      </c>
      <c r="B3" s="17" t="inlineStr">
        <is>
          <t>Multiple</t>
        </is>
      </c>
      <c r="C3" s="17" t="inlineStr">
        <is>
          <t>The Lancet</t>
        </is>
      </c>
      <c r="D3" s="17" t="n">
        <v>2025</v>
      </c>
      <c r="E3" s="17" t="inlineStr">
        <is>
          <t>T1D</t>
        </is>
      </c>
      <c r="F3" s="17" t="inlineStr">
        <is>
          <t>Treatment Overview</t>
        </is>
      </c>
      <c r="G3" s="17" t="inlineStr">
        <is>
          <t>Comprehensive review of T1D therapeutic landscape</t>
        </is>
      </c>
      <c r="H3" s="17" t="n">
        <v>5</v>
      </c>
      <c r="I3" s="17" t="inlineStr">
        <is>
          <t>No</t>
        </is>
      </c>
      <c r="J3" s="17" t="n"/>
      <c r="K3" s="18" t="inlineStr">
        <is>
          <t>https://www.thelancet.com/journals/lancet/article/PIIS0140-6736(25)01438-2/fulltext</t>
        </is>
      </c>
    </row>
    <row r="4" ht="23.85" customHeight="1" s="13">
      <c r="A4" s="15" t="inlineStr">
        <is>
          <t>Plasma proteomic markers &amp; polygenic risk of T2D</t>
        </is>
      </c>
      <c r="B4" s="15" t="inlineStr">
        <is>
          <t>AstraZeneca/CGR</t>
        </is>
      </c>
      <c r="C4" s="15" t="inlineStr">
        <is>
          <t>Nature Comms</t>
        </is>
      </c>
      <c r="D4" s="15" t="n">
        <v>2025</v>
      </c>
      <c r="E4" s="15" t="inlineStr">
        <is>
          <t>T2D</t>
        </is>
      </c>
      <c r="F4" s="15" t="inlineStr">
        <is>
          <t>Proteomics</t>
        </is>
      </c>
      <c r="G4" s="15" t="inlineStr">
        <is>
          <t>617 proteins associated with T2D risk; FAM3D target</t>
        </is>
      </c>
      <c r="H4" s="15" t="n">
        <v>5</v>
      </c>
      <c r="I4" s="15" t="inlineStr">
        <is>
          <t>No</t>
        </is>
      </c>
      <c r="J4" s="15" t="n"/>
      <c r="K4" s="16" t="inlineStr">
        <is>
          <t>https://www.nature.com/articles/s41467-025-56695-z</t>
        </is>
      </c>
    </row>
    <row r="5" ht="35.05" customHeight="1" s="13">
      <c r="A5" s="17" t="inlineStr">
        <is>
          <t>Multi-omics biomarker discovery in prediabetes</t>
        </is>
      </c>
      <c r="B5" s="17" t="inlineStr">
        <is>
          <t>Multiple</t>
        </is>
      </c>
      <c r="C5" s="17" t="inlineStr">
        <is>
          <t>Front Endocrinol</t>
        </is>
      </c>
      <c r="D5" s="17" t="n">
        <v>2025</v>
      </c>
      <c r="E5" s="17" t="inlineStr">
        <is>
          <t>T2D/Pre</t>
        </is>
      </c>
      <c r="F5" s="17" t="inlineStr">
        <is>
          <t>Biomarkers</t>
        </is>
      </c>
      <c r="G5" s="17" t="inlineStr">
        <is>
          <t>AI+ML multi-omics biomarker framework</t>
        </is>
      </c>
      <c r="H5" s="17" t="n">
        <v>4</v>
      </c>
      <c r="I5" s="17" t="inlineStr">
        <is>
          <t>No</t>
        </is>
      </c>
      <c r="J5" s="17" t="n"/>
      <c r="K5" s="18" t="inlineStr">
        <is>
          <t>https://www.frontiersin.org/journals/endocrinology/articles/10.3389/fendo.2025.1520436/full</t>
        </is>
      </c>
    </row>
    <row r="6" ht="23.85" customHeight="1" s="13">
      <c r="A6" s="15" t="inlineStr">
        <is>
          <t>Epigenetic landscape of T2D: multi-omics CpG analysis</t>
        </is>
      </c>
      <c r="B6" s="15" t="inlineStr">
        <is>
          <t>Multiple</t>
        </is>
      </c>
      <c r="C6" s="15" t="inlineStr">
        <is>
          <t>Diabetes Metab J</t>
        </is>
      </c>
      <c r="D6" s="15" t="n">
        <v>2025</v>
      </c>
      <c r="E6" s="15" t="inlineStr">
        <is>
          <t>T2D</t>
        </is>
      </c>
      <c r="F6" s="15" t="inlineStr">
        <is>
          <t>Epigenetics</t>
        </is>
      </c>
      <c r="G6" s="15" t="inlineStr">
        <is>
          <t>1,120 CpGs associated with T2D; CAMK1D mechanisms</t>
        </is>
      </c>
      <c r="H6" s="15" t="n">
        <v>4</v>
      </c>
      <c r="I6" s="15" t="inlineStr">
        <is>
          <t>No</t>
        </is>
      </c>
      <c r="J6" s="15" t="n"/>
      <c r="K6" s="16" t="inlineStr">
        <is>
          <t>https://www.e-dmj.org/journal/view.php?doi=10.4093/dmj.2025.0041</t>
        </is>
      </c>
    </row>
    <row r="7" ht="35.05" customHeight="1" s="13">
      <c r="A7" s="17" t="inlineStr">
        <is>
          <t>Regulatory T cell dysfunction in T1D</t>
        </is>
      </c>
      <c r="B7" s="17" t="inlineStr">
        <is>
          <t>Multiple</t>
        </is>
      </c>
      <c r="C7" s="17" t="inlineStr">
        <is>
          <t>Front Endocrinol</t>
        </is>
      </c>
      <c r="D7" s="17" t="n">
        <v>2025</v>
      </c>
      <c r="E7" s="17" t="inlineStr">
        <is>
          <t>T1D</t>
        </is>
      </c>
      <c r="F7" s="17" t="inlineStr">
        <is>
          <t>Immunology</t>
        </is>
      </c>
      <c r="G7" s="17" t="inlineStr">
        <is>
          <t>Treg dysfunction review and therapeutic breakthroughs</t>
        </is>
      </c>
      <c r="H7" s="17" t="n">
        <v>4</v>
      </c>
      <c r="I7" s="17" t="inlineStr">
        <is>
          <t>No</t>
        </is>
      </c>
      <c r="J7" s="17" t="n"/>
      <c r="K7" s="18" t="inlineStr">
        <is>
          <t>https://www.frontiersin.org/journals/endocrinology/articles/10.3389/fendo.2025.1740102/full</t>
        </is>
      </c>
    </row>
    <row r="8" ht="23.85" customHeight="1" s="13">
      <c r="A8" s="15" t="inlineStr">
        <is>
          <t>CAR T cell therapy in type 1 diabetes</t>
        </is>
      </c>
      <c r="B8" s="15" t="inlineStr">
        <is>
          <t>Multiple</t>
        </is>
      </c>
      <c r="C8" s="15" t="inlineStr">
        <is>
          <t>PMC</t>
        </is>
      </c>
      <c r="D8" s="15" t="n">
        <v>2025</v>
      </c>
      <c r="E8" s="15" t="inlineStr">
        <is>
          <t>T1D</t>
        </is>
      </c>
      <c r="F8" s="15" t="inlineStr">
        <is>
          <t>Immunotherapy</t>
        </is>
      </c>
      <c r="G8" s="15" t="inlineStr">
        <is>
          <t>CAR-T approaches for T1D: what we know</t>
        </is>
      </c>
      <c r="H8" s="15" t="n">
        <v>4</v>
      </c>
      <c r="I8" s="15" t="inlineStr">
        <is>
          <t>No</t>
        </is>
      </c>
      <c r="J8" s="15" t="n"/>
      <c r="K8" s="16" t="inlineStr">
        <is>
          <t>https://pmc.ncbi.nlm.nih.gov/articles/PMC12661798/</t>
        </is>
      </c>
    </row>
    <row r="9" ht="23.85" customHeight="1" s="13">
      <c r="A9" s="17" t="inlineStr">
        <is>
          <t>Safe deep RL fully closed-loop AP controller</t>
        </is>
      </c>
      <c r="B9" s="17" t="inlineStr">
        <is>
          <t>Multiple</t>
        </is>
      </c>
      <c r="C9" s="17" t="inlineStr">
        <is>
          <t>PLOS ONE</t>
        </is>
      </c>
      <c r="D9" s="17" t="n">
        <v>2025</v>
      </c>
      <c r="E9" s="17" t="inlineStr">
        <is>
          <t>T1D</t>
        </is>
      </c>
      <c r="F9" s="17" t="inlineStr">
        <is>
          <t>AI / Technology</t>
        </is>
      </c>
      <c r="G9" s="17" t="inlineStr">
        <is>
          <t>87.45% TIR; lower hypoglycemia than baselines</t>
        </is>
      </c>
      <c r="H9" s="17" t="n">
        <v>3</v>
      </c>
      <c r="I9" s="17" t="inlineStr">
        <is>
          <t>No</t>
        </is>
      </c>
      <c r="J9" s="17" t="n"/>
      <c r="K9" s="18" t="inlineStr">
        <is>
          <t>https://journals.plos.org/plosone/article?id=10.1371/journal.pone.0317662</t>
        </is>
      </c>
    </row>
    <row r="10" ht="23.85" customHeight="1" s="13">
      <c r="A10" s="15" t="inlineStr">
        <is>
          <t>Role of beta cell in T2D: new findings (last 5 years)</t>
        </is>
      </c>
      <c r="B10" s="15" t="inlineStr">
        <is>
          <t>Multiple</t>
        </is>
      </c>
      <c r="C10" s="15" t="inlineStr">
        <is>
          <t>Diabetologia</t>
        </is>
      </c>
      <c r="D10" s="15" t="n">
        <v>2025</v>
      </c>
      <c r="E10" s="15" t="inlineStr">
        <is>
          <t>T2D</t>
        </is>
      </c>
      <c r="F10" s="15" t="inlineStr">
        <is>
          <t>Beta Cell Biology</t>
        </is>
      </c>
      <c r="G10" s="15" t="inlineStr">
        <is>
          <t>T2D remission achievable through beta cell recovery</t>
        </is>
      </c>
      <c r="H10" s="15" t="n">
        <v>5</v>
      </c>
      <c r="I10" s="15" t="inlineStr">
        <is>
          <t>No</t>
        </is>
      </c>
      <c r="J10" s="15" t="n"/>
      <c r="K10" s="16" t="inlineStr">
        <is>
          <t>https://link.springer.com/article/10.1007/s00125-025-06499-z</t>
        </is>
      </c>
    </row>
    <row r="11" ht="35.05" customHeight="1" s="13">
      <c r="A11" s="17" t="inlineStr">
        <is>
          <t>Advances in beta-cell development &amp; regeneration</t>
        </is>
      </c>
      <c r="B11" s="17" t="inlineStr">
        <is>
          <t>Multiple</t>
        </is>
      </c>
      <c r="C11" s="17" t="inlineStr">
        <is>
          <t>Front Endocrinol</t>
        </is>
      </c>
      <c r="D11" s="17" t="n">
        <v>2026</v>
      </c>
      <c r="E11" s="17" t="inlineStr">
        <is>
          <t>T1D/T2D</t>
        </is>
      </c>
      <c r="F11" s="17" t="inlineStr">
        <is>
          <t>Regeneration</t>
        </is>
      </c>
      <c r="G11" s="17" t="inlineStr">
        <is>
          <t>Editorial: in vitro + in vivo regeneration advances</t>
        </is>
      </c>
      <c r="H11" s="17" t="n">
        <v>4</v>
      </c>
      <c r="I11" s="17" t="inlineStr">
        <is>
          <t>No</t>
        </is>
      </c>
      <c r="J11" s="17" t="n"/>
      <c r="K11" s="18" t="inlineStr">
        <is>
          <t>https://www.frontiersin.org/journals/endocrinology/articles/10.3389/fendo.2026.1765933/full</t>
        </is>
      </c>
    </row>
    <row r="12" ht="23.85" customHeight="1" s="13">
      <c r="A12" s="15" t="inlineStr">
        <is>
          <t>Gut microbiome predicts fiber responses in prediabetes</t>
        </is>
      </c>
      <c r="B12" s="15" t="inlineStr">
        <is>
          <t>Multiple</t>
        </is>
      </c>
      <c r="C12" s="15" t="inlineStr">
        <is>
          <t>Nature Comms</t>
        </is>
      </c>
      <c r="D12" s="15" t="n">
        <v>2025</v>
      </c>
      <c r="E12" s="15" t="inlineStr">
        <is>
          <t>T2D/Pre</t>
        </is>
      </c>
      <c r="F12" s="15" t="inlineStr">
        <is>
          <t>Microbiome</t>
        </is>
      </c>
      <c r="G12" s="15" t="inlineStr">
        <is>
          <t>Microbiome profile predicts dietary intervention response</t>
        </is>
      </c>
      <c r="H12" s="15" t="n">
        <v>4</v>
      </c>
      <c r="I12" s="15" t="inlineStr">
        <is>
          <t>No</t>
        </is>
      </c>
      <c r="J12" s="15" t="n"/>
      <c r="K12" s="16" t="inlineStr">
        <is>
          <t>https://www.nature.com/articles/s41467-025-66498-x</t>
        </is>
      </c>
    </row>
    <row r="13" ht="23.85" customHeight="1" s="13">
      <c r="A13" s="17" t="inlineStr">
        <is>
          <t>Diet, gut microbiome, and T1D: risk to opportunity</t>
        </is>
      </c>
      <c r="B13" s="17" t="inlineStr">
        <is>
          <t>Multiple</t>
        </is>
      </c>
      <c r="C13" s="17" t="inlineStr">
        <is>
          <t>Gut Microbes</t>
        </is>
      </c>
      <c r="D13" s="17" t="n">
        <v>2026</v>
      </c>
      <c r="E13" s="17" t="inlineStr">
        <is>
          <t>T1D</t>
        </is>
      </c>
      <c r="F13" s="17" t="inlineStr">
        <is>
          <t>Microbiome</t>
        </is>
      </c>
      <c r="G13" s="17" t="inlineStr">
        <is>
          <t>Diet shapes immunomodulatory metabolites affecting T1D</t>
        </is>
      </c>
      <c r="H13" s="17" t="n">
        <v>4</v>
      </c>
      <c r="I13" s="17" t="inlineStr">
        <is>
          <t>No</t>
        </is>
      </c>
      <c r="J13" s="17" t="n"/>
      <c r="K13" s="18" t="inlineStr">
        <is>
          <t>https://www.tandfonline.com/doi/full/10.1080/19490976.2026.2614039</t>
        </is>
      </c>
    </row>
    <row r="14" ht="23.85" customHeight="1" s="13">
      <c r="A14" s="15" t="inlineStr">
        <is>
          <t>ML for diabetes complication diagnosis</t>
        </is>
      </c>
      <c r="B14" s="15" t="inlineStr">
        <is>
          <t>Scheideman et al.</t>
        </is>
      </c>
      <c r="C14" s="15" t="inlineStr">
        <is>
          <t>J Diabetes Sci Tech</t>
        </is>
      </c>
      <c r="D14" s="15" t="n">
        <v>2025</v>
      </c>
      <c r="E14" s="15" t="inlineStr">
        <is>
          <t>Cross</t>
        </is>
      </c>
      <c r="F14" s="15" t="inlineStr">
        <is>
          <t>AI / Complications</t>
        </is>
      </c>
      <c r="G14" s="15" t="inlineStr">
        <is>
          <t>ML reshaping complication diagnosis across DR, DN, neuropathy</t>
        </is>
      </c>
      <c r="H14" s="15" t="n">
        <v>4</v>
      </c>
      <c r="I14" s="15" t="inlineStr">
        <is>
          <t>No</t>
        </is>
      </c>
      <c r="J14" s="15" t="n"/>
      <c r="K14" s="16" t="inlineStr">
        <is>
          <t>https://journals.sagepub.com/doi/10.1177/19322968251365245</t>
        </is>
      </c>
    </row>
    <row r="15" ht="23.85" customHeight="1" s="13">
      <c r="A15" s="17" t="inlineStr">
        <is>
          <t>Global burden diabetes 1990-2021 + projections to 2050</t>
        </is>
      </c>
      <c r="B15" s="17" t="inlineStr">
        <is>
          <t>GBD Study</t>
        </is>
      </c>
      <c r="C15" s="17" t="inlineStr">
        <is>
          <t>The Lancet</t>
        </is>
      </c>
      <c r="D15" s="17" t="n">
        <v>2023</v>
      </c>
      <c r="E15" s="17" t="inlineStr">
        <is>
          <t>Epi</t>
        </is>
      </c>
      <c r="F15" s="17" t="inlineStr">
        <is>
          <t>Epidemiology</t>
        </is>
      </c>
      <c r="G15" s="17" t="inlineStr">
        <is>
          <t>589M prevalence; 46% projected increase by 2050</t>
        </is>
      </c>
      <c r="H15" s="17" t="n">
        <v>5</v>
      </c>
      <c r="I15" s="17" t="inlineStr">
        <is>
          <t>No</t>
        </is>
      </c>
      <c r="J15" s="17" t="inlineStr">
        <is>
          <t>Foundational</t>
        </is>
      </c>
      <c r="K15" s="18" t="inlineStr">
        <is>
          <t>https://www.thelancet.com/article/S0140-6736(23)01301-6/fulltext</t>
        </is>
      </c>
    </row>
    <row r="16" ht="35.05" customHeight="1" s="13">
      <c r="A16" s="15" t="inlineStr">
        <is>
          <t>Worldwide diabetes prevalence &amp; treatment 1990-2022</t>
        </is>
      </c>
      <c r="B16" s="15" t="inlineStr">
        <is>
          <t>NCD-RisC</t>
        </is>
      </c>
      <c r="C16" s="15" t="inlineStr">
        <is>
          <t>The Lancet</t>
        </is>
      </c>
      <c r="D16" s="15" t="n">
        <v>2024</v>
      </c>
      <c r="E16" s="15" t="inlineStr">
        <is>
          <t>Epi</t>
        </is>
      </c>
      <c r="F16" s="15" t="inlineStr">
        <is>
          <t>Treatment Gaps</t>
        </is>
      </c>
      <c r="G16" s="15" t="inlineStr">
        <is>
          <t>Treatment not keeping pace with prevalence in LMICs</t>
        </is>
      </c>
      <c r="H16" s="15" t="n">
        <v>5</v>
      </c>
      <c r="I16" s="15" t="inlineStr">
        <is>
          <t>No</t>
        </is>
      </c>
      <c r="J16" s="15" t="inlineStr">
        <is>
          <t>Foundational</t>
        </is>
      </c>
      <c r="K16" s="16" t="inlineStr">
        <is>
          <t>https://www.thelancet.com/journals/lancet/article/PIIS0140-6736(24)02317-1/fulltext</t>
        </is>
      </c>
    </row>
    <row r="17" ht="23.85" customHeight="1" s="13">
      <c r="A17" s="17" t="inlineStr">
        <is>
          <t>Pharmacological therapies for T2D: future approaches</t>
        </is>
      </c>
      <c r="B17" s="17" t="inlineStr">
        <is>
          <t>Multiple</t>
        </is>
      </c>
      <c r="C17" s="17" t="inlineStr">
        <is>
          <t>Diabetologia</t>
        </is>
      </c>
      <c r="D17" s="17" t="n">
        <v>2025</v>
      </c>
      <c r="E17" s="17" t="inlineStr">
        <is>
          <t>T2D</t>
        </is>
      </c>
      <c r="F17" s="17" t="inlineStr">
        <is>
          <t>Drug Pipeline</t>
        </is>
      </c>
      <c r="G17" s="17" t="inlineStr">
        <is>
          <t>Multi-agonists, inflammation modulators, ML-enabled discovery</t>
        </is>
      </c>
      <c r="H17" s="17" t="n">
        <v>5</v>
      </c>
      <c r="I17" s="17" t="inlineStr">
        <is>
          <t>No</t>
        </is>
      </c>
      <c r="J17" s="17" t="n"/>
      <c r="K17" s="18" t="inlineStr">
        <is>
          <t>https://link.springer.com/article/10.1007/s00125-025-06581-6</t>
        </is>
      </c>
    </row>
    <row r="18" ht="23.85" customHeight="1" s="13">
      <c r="A18" s="15" t="inlineStr">
        <is>
          <t>3D pancreatic organoids for functional beta cell replacement</t>
        </is>
      </c>
      <c r="B18" s="15" t="inlineStr">
        <is>
          <t>Multiple</t>
        </is>
      </c>
      <c r="C18" s="15" t="inlineStr">
        <is>
          <t>Int J Mol Sci</t>
        </is>
      </c>
      <c r="D18" s="15" t="n">
        <v>2025</v>
      </c>
      <c r="E18" s="15" t="inlineStr">
        <is>
          <t>T1D/T2D</t>
        </is>
      </c>
      <c r="F18" s="15" t="inlineStr">
        <is>
          <t>Organoids</t>
        </is>
      </c>
      <c r="G18" s="15" t="inlineStr">
        <is>
          <t>Vascularization and immune protection in organoid models</t>
        </is>
      </c>
      <c r="H18" s="15" t="n">
        <v>3</v>
      </c>
      <c r="I18" s="15" t="inlineStr">
        <is>
          <t>No</t>
        </is>
      </c>
      <c r="J18" s="15" t="n"/>
      <c r="K18" s="16" t="inlineStr">
        <is>
          <t>https://www.mdpi.com/1422-0067/27/3/1280</t>
        </is>
      </c>
    </row>
    <row r="19" ht="23.85" customHeight="1" s="13">
      <c r="A19" s="17" t="inlineStr">
        <is>
          <t>Innovation without inclusion: diabetes tech equity</t>
        </is>
      </c>
      <c r="B19" s="17" t="inlineStr">
        <is>
          <t>Multiple</t>
        </is>
      </c>
      <c r="C19" s="17" t="inlineStr">
        <is>
          <t>J Diabetes Metab Disord</t>
        </is>
      </c>
      <c r="D19" s="17" t="n">
        <v>2026</v>
      </c>
      <c r="E19" s="17" t="inlineStr">
        <is>
          <t>Equity</t>
        </is>
      </c>
      <c r="F19" s="17" t="inlineStr">
        <is>
          <t>Health Disparities</t>
        </is>
      </c>
      <c r="G19" s="17" t="inlineStr">
        <is>
          <t>Consistent disparities in CGM/pump/telehealth access</t>
        </is>
      </c>
      <c r="H19" s="17" t="n">
        <v>4</v>
      </c>
      <c r="I19" s="17" t="inlineStr">
        <is>
          <t>No</t>
        </is>
      </c>
      <c r="J19" s="17" t="n"/>
      <c r="K19" s="18" t="inlineStr">
        <is>
          <t>https://link.springer.com/article/10.1007/s40200-026-01901-y</t>
        </is>
      </c>
    </row>
    <row r="20" ht="23.85" customHeight="1" s="13">
      <c r="A20" s="15" t="inlineStr">
        <is>
          <t>Stem cell beta-cell therapies: encapsulation advances</t>
        </is>
      </c>
      <c r="B20" s="15" t="inlineStr">
        <is>
          <t>Multiple</t>
        </is>
      </c>
      <c r="C20" s="15" t="inlineStr">
        <is>
          <t>Cells</t>
        </is>
      </c>
      <c r="D20" s="15" t="n">
        <v>2025</v>
      </c>
      <c r="E20" s="15" t="inlineStr">
        <is>
          <t>T1D</t>
        </is>
      </c>
      <c r="F20" s="15" t="inlineStr">
        <is>
          <t>Encapsulation</t>
        </is>
      </c>
      <c r="G20" s="15" t="inlineStr">
        <is>
          <t>Immunological hurdles in encapsulated islet therapies</t>
        </is>
      </c>
      <c r="H20" s="15" t="n">
        <v>3</v>
      </c>
      <c r="I20" s="15" t="inlineStr">
        <is>
          <t>No</t>
        </is>
      </c>
      <c r="J20" s="15" t="n"/>
      <c r="K20" s="16" t="inlineStr">
        <is>
          <t>https://www.mdpi.com/2073-4409/15/2/191</t>
        </is>
      </c>
    </row>
    <row r="21" ht="23.85" customHeight="1" s="13">
      <c r="A21" s="17" t="inlineStr">
        <is>
          <t>Next-gen therapeutics: lessons from current diabetes drugs</t>
        </is>
      </c>
      <c r="B21" s="17" t="inlineStr">
        <is>
          <t>Multiple</t>
        </is>
      </c>
      <c r="C21" s="17" t="inlineStr">
        <is>
          <t>Innovation Drug Disc</t>
        </is>
      </c>
      <c r="D21" s="17" t="n">
        <v>2026</v>
      </c>
      <c r="E21" s="17" t="inlineStr">
        <is>
          <t>T2D</t>
        </is>
      </c>
      <c r="F21" s="17" t="inlineStr">
        <is>
          <t>Drug Design</t>
        </is>
      </c>
      <c r="G21" s="17" t="inlineStr">
        <is>
          <t>Lessons learned for next-generation diabetes therapeutics</t>
        </is>
      </c>
      <c r="H21" s="17" t="n">
        <v>4</v>
      </c>
      <c r="I21" s="17" t="inlineStr">
        <is>
          <t>No</t>
        </is>
      </c>
      <c r="J21" s="17" t="n"/>
      <c r="K21" s="18" t="inlineStr">
        <is>
          <t>https://www.the-innovation.org/article/doi/10.59717/j.xinn-drugdisc.2026.100008</t>
        </is>
      </c>
    </row>
    <row r="22" ht="23.85" customHeight="1" s="13">
      <c r="A22" s="15" t="inlineStr">
        <is>
          <t>Multilevel diabetes prevention interventions for equity</t>
        </is>
      </c>
      <c r="B22" s="15" t="inlineStr">
        <is>
          <t>Multiple</t>
        </is>
      </c>
      <c r="C22" s="15" t="inlineStr">
        <is>
          <t>JMIR Public Health</t>
        </is>
      </c>
      <c r="D22" s="15" t="n">
        <v>2025</v>
      </c>
      <c r="E22" s="15" t="inlineStr">
        <is>
          <t>Prevention</t>
        </is>
      </c>
      <c r="F22" s="15" t="inlineStr">
        <is>
          <t>Public Health</t>
        </is>
      </c>
      <c r="G22" s="15" t="inlineStr">
        <is>
          <t>Multi-level interventions needed to address disparities</t>
        </is>
      </c>
      <c r="H22" s="15" t="n">
        <v>4</v>
      </c>
      <c r="I22" s="15" t="inlineStr">
        <is>
          <t>No</t>
        </is>
      </c>
      <c r="J22" s="15" t="n"/>
      <c r="K22" s="16" t="inlineStr">
        <is>
          <t>https://publichealth.jmir.org/2025/1/e70267</t>
        </is>
      </c>
    </row>
    <row r="23" ht="35.05" customHeight="1" s="13">
      <c r="A23" s="17" t="inlineStr">
        <is>
          <t>AI in diabetes prediction: 33-year bibliometric analysis</t>
        </is>
      </c>
      <c r="B23" s="17" t="inlineStr">
        <is>
          <t>Multiple</t>
        </is>
      </c>
      <c r="C23" s="17" t="inlineStr">
        <is>
          <t>Front Digital Health</t>
        </is>
      </c>
      <c r="D23" s="17" t="n">
        <v>2025</v>
      </c>
      <c r="E23" s="17" t="inlineStr">
        <is>
          <t>AI/ML</t>
        </is>
      </c>
      <c r="F23" s="17" t="inlineStr">
        <is>
          <t>Literature Analysis</t>
        </is>
      </c>
      <c r="G23" s="17" t="inlineStr">
        <is>
          <t>Comprehensive mapping of AI/ML in diabetes prediction</t>
        </is>
      </c>
      <c r="H23" s="17" t="n">
        <v>3</v>
      </c>
      <c r="I23" s="17" t="inlineStr">
        <is>
          <t>No</t>
        </is>
      </c>
      <c r="J23" s="17" t="n"/>
      <c r="K23" s="18" t="inlineStr">
        <is>
          <t>https://www.frontiersin.org/journals/digital-health/articles/10.3389/fdgth.2025.1557467/full</t>
        </is>
      </c>
    </row>
    <row r="24" ht="23.85" customHeight="1" s="13">
      <c r="A24" s="15" t="inlineStr">
        <is>
          <t>Emerging immunotherapies for T1D disease modification</t>
        </is>
      </c>
      <c r="B24" s="15" t="inlineStr">
        <is>
          <t>Multiple</t>
        </is>
      </c>
      <c r="C24" s="15" t="inlineStr">
        <is>
          <t>PMC</t>
        </is>
      </c>
      <c r="D24" s="15" t="n">
        <v>2025</v>
      </c>
      <c r="E24" s="15" t="inlineStr">
        <is>
          <t>T1D</t>
        </is>
      </c>
      <c r="F24" s="15" t="inlineStr">
        <is>
          <t>Immunotherapy</t>
        </is>
      </c>
      <c r="G24" s="15" t="inlineStr">
        <is>
          <t>Review of immunotherapeutic approaches for T1D</t>
        </is>
      </c>
      <c r="H24" s="15" t="n">
        <v>4</v>
      </c>
      <c r="I24" s="15" t="inlineStr">
        <is>
          <t>No</t>
        </is>
      </c>
      <c r="J24" s="15" t="n"/>
      <c r="K24" s="16" t="inlineStr">
        <is>
          <t>https://pmc.ncbi.nlm.nih.gov/articles/PMC11949705/</t>
        </is>
      </c>
    </row>
    <row r="25" ht="35.05" customHeight="1" s="13">
      <c r="A25" s="17" t="inlineStr">
        <is>
          <t>ADA Standards of Care in Diabetes 2026</t>
        </is>
      </c>
      <c r="B25" s="17" t="inlineStr">
        <is>
          <t>ADA</t>
        </is>
      </c>
      <c r="C25" s="17" t="inlineStr">
        <is>
          <t>Diabetes Care</t>
        </is>
      </c>
      <c r="D25" s="17" t="n">
        <v>2026</v>
      </c>
      <c r="E25" s="17" t="inlineStr">
        <is>
          <t>All</t>
        </is>
      </c>
      <c r="F25" s="17" t="inlineStr">
        <is>
          <t>Guidelines</t>
        </is>
      </c>
      <c r="G25" s="17" t="inlineStr">
        <is>
          <t>Comprehensive clinical practice guidelines</t>
        </is>
      </c>
      <c r="H25" s="17" t="n">
        <v>5</v>
      </c>
      <c r="I25" s="17" t="inlineStr">
        <is>
          <t>No</t>
        </is>
      </c>
      <c r="J25" s="17" t="inlineStr">
        <is>
          <t>Annual reference</t>
        </is>
      </c>
      <c r="K25" s="18" t="inlineStr">
        <is>
          <t>https://diabetesjournals.org/care/article/49/Supplement_1/S13/163920/1-Improving-Care-and-Promoting-Health-in</t>
        </is>
      </c>
    </row>
    <row r="26" ht="23.85" customHeight="1" s="13">
      <c r="A26" s="15" t="inlineStr">
        <is>
          <t>Reversing beta-cell dedifferentiation in T2D</t>
        </is>
      </c>
      <c r="B26" s="15" t="inlineStr">
        <is>
          <t>Multiple</t>
        </is>
      </c>
      <c r="C26" s="15" t="inlineStr">
        <is>
          <t>Exp Mol Med</t>
        </is>
      </c>
      <c r="D26" s="15" t="n">
        <v>2023</v>
      </c>
      <c r="E26" s="15" t="inlineStr">
        <is>
          <t>T2D</t>
        </is>
      </c>
      <c r="F26" s="15" t="inlineStr">
        <is>
          <t>Beta Cell Biology</t>
        </is>
      </c>
      <c r="G26" s="15" t="inlineStr">
        <is>
          <t>Mechanisms of dedifferentiation and reversal strategies</t>
        </is>
      </c>
      <c r="H26" s="15" t="n">
        <v>4</v>
      </c>
      <c r="I26" s="15" t="inlineStr">
        <is>
          <t>No</t>
        </is>
      </c>
      <c r="J26" s="15" t="inlineStr">
        <is>
          <t>Background</t>
        </is>
      </c>
      <c r="K26" s="16" t="inlineStr">
        <is>
          <t>https://www.nature.com/articles/s12276-023-01043-8</t>
        </is>
      </c>
    </row>
    <row r="27">
      <c r="A27" s="12" t="inlineStr">
        <is>
          <t>Autologous and allogeneic stem cell-derived islet therapy in three T1D recipients</t>
        </is>
      </c>
      <c r="B27" s="12" t="inlineStr">
        <is>
          <t>Shi Y, Yin H et al.</t>
        </is>
      </c>
      <c r="C27" s="12" t="inlineStr">
        <is>
          <t>Lancet Diabetes Endocrinol</t>
        </is>
      </c>
      <c r="D27" s="12" t="n">
        <v>2026</v>
      </c>
      <c r="E27" s="12" t="inlineStr">
        <is>
          <t>T1D</t>
        </is>
      </c>
      <c r="F27" s="12" t="inlineStr">
        <is>
          <t>Stem Cell Therapy</t>
        </is>
      </c>
      <c r="G27" s="12" t="inlineStr">
        <is>
          <t>3 patients with complete beta cell loss received iPSC-derived islets; autologous + allogeneic approaches</t>
        </is>
      </c>
      <c r="H27" s="12" t="n">
        <v>5</v>
      </c>
      <c r="I27" s="12" t="inlineStr">
        <is>
          <t>No</t>
        </is>
      </c>
      <c r="J27" s="12" t="inlineStr">
        <is>
          <t>BRONZE — single study, n=3. Triple-source: primary paper only; seek Lancet commentary + independent report</t>
        </is>
      </c>
      <c r="K27" s="12" t="inlineStr">
        <is>
          <t>https://doi.org/10.1016/S2213-8587(25)00423-1</t>
        </is>
      </c>
    </row>
    <row r="28">
      <c r="A28" s="12" t="inlineStr">
        <is>
          <t>Teplizumab Stage 2 T1D: Clinical Practice Experience (3 adults)</t>
        </is>
      </c>
      <c r="B28" s="12" t="inlineStr">
        <is>
          <t>Guarnotta V et al.</t>
        </is>
      </c>
      <c r="C28" s="12" t="inlineStr">
        <is>
          <t>Diabetes Obes Metab</t>
        </is>
      </c>
      <c r="D28" s="12" t="n">
        <v>2026</v>
      </c>
      <c r="E28" s="12" t="inlineStr">
        <is>
          <t>T1D</t>
        </is>
      </c>
      <c r="F28" s="12" t="inlineStr">
        <is>
          <t>Immunotherapy</t>
        </is>
      </c>
      <c r="G28" s="12" t="inlineStr">
        <is>
          <t>First Italian real-world teplizumab under compassionate use; feasible and safe in day-hospital setting</t>
        </is>
      </c>
      <c r="H28" s="12" t="n">
        <v>4</v>
      </c>
      <c r="I28" s="12" t="inlineStr">
        <is>
          <t>No</t>
        </is>
      </c>
      <c r="J28" s="12" t="inlineStr">
        <is>
          <t>BRONZE — case series n=3. Cross-ref with Diabetologia real-world study (n=42) and Mahesh et al. DOM 2026</t>
        </is>
      </c>
      <c r="K28" s="12" t="inlineStr">
        <is>
          <t>https://doi.org/10.1111/dom.70626</t>
        </is>
      </c>
    </row>
    <row r="29">
      <c r="A29" s="12" t="inlineStr">
        <is>
          <t>Teplizumab real-world evaluation: metabolic and immunological outcomes</t>
        </is>
      </c>
      <c r="B29" s="12" t="inlineStr">
        <is>
          <t>Karakus KE et al.</t>
        </is>
      </c>
      <c r="C29" s="12" t="inlineStr">
        <is>
          <t>Diabetologia</t>
        </is>
      </c>
      <c r="D29" s="12" t="n">
        <v>2026</v>
      </c>
      <c r="E29" s="12" t="inlineStr">
        <is>
          <t>T1D</t>
        </is>
      </c>
      <c r="F29" s="12" t="inlineStr">
        <is>
          <t>Immunotherapy</t>
        </is>
      </c>
      <c r="G29" s="12" t="inlineStr">
        <is>
          <t>First prospective real-world study post-FDA; n=30 treated vs n=10 control; 17% progressed at ~1yr</t>
        </is>
      </c>
      <c r="H29" s="12" t="n">
        <v>5</v>
      </c>
      <c r="I29" s="12" t="inlineStr">
        <is>
          <t>No</t>
        </is>
      </c>
      <c r="J29" s="12" t="inlineStr">
        <is>
          <t>SILVER — prospective observational + consistent with RCT data</t>
        </is>
      </c>
      <c r="K29" s="12" t="inlineStr">
        <is>
          <t>https://doi.org/10.1007/s00125-025-06646-6</t>
        </is>
      </c>
    </row>
    <row r="30">
      <c r="A30" s="12" t="inlineStr">
        <is>
          <t>Canagliflozin promotes beta-cell regeneration and restores beta-cell identity</t>
        </is>
      </c>
      <c r="B30" s="12" t="inlineStr">
        <is>
          <t>Popescu I et al.</t>
        </is>
      </c>
      <c r="C30" s="12" t="inlineStr">
        <is>
          <t>J Cell Mol Med</t>
        </is>
      </c>
      <c r="D30" s="12" t="n">
        <v>2026</v>
      </c>
      <c r="E30" s="12" t="inlineStr">
        <is>
          <t>T2D</t>
        </is>
      </c>
      <c r="F30" s="12" t="inlineStr">
        <is>
          <t>Beta Cell / SGLT2i</t>
        </is>
      </c>
      <c r="G30" s="12" t="inlineStr">
        <is>
          <t>SGLT2 inhibitor promotes beta cell regeneration and restores beta cell identity in polygenic T2D model</t>
        </is>
      </c>
      <c r="H30" s="12" t="n">
        <v>4</v>
      </c>
      <c r="I30" s="12" t="inlineStr">
        <is>
          <t>No</t>
        </is>
      </c>
      <c r="J30" s="12" t="inlineStr">
        <is>
          <t>BRONZE — preclinical (animal model). Prior: dapagliflozin similar (PMID:32712220). Drug repurposing relevance.</t>
        </is>
      </c>
      <c r="K30" s="12" t="inlineStr">
        <is>
          <t>https://doi.org/10.1111/jcmm.71041</t>
        </is>
      </c>
    </row>
    <row r="31">
      <c r="A31" s="12" t="inlineStr">
        <is>
          <t>Closed-Loop AID in T2D: Meta-Analysis of RCTs</t>
        </is>
      </c>
      <c r="B31" s="12" t="inlineStr">
        <is>
          <t>Ali D et al.</t>
        </is>
      </c>
      <c r="C31" s="12" t="inlineStr">
        <is>
          <t>Endocrinol Diabetes Metab</t>
        </is>
      </c>
      <c r="D31" s="12" t="n">
        <v>2026</v>
      </c>
      <c r="E31" s="12" t="inlineStr">
        <is>
          <t>T2D</t>
        </is>
      </c>
      <c r="F31" s="12" t="inlineStr">
        <is>
          <t>Technology</t>
        </is>
      </c>
      <c r="G31" s="12" t="inlineStr">
        <is>
          <t>Systematic review/meta-analysis of RCTs confirming AID efficacy for insulin-requiring T2D patients</t>
        </is>
      </c>
      <c r="H31" s="12" t="n">
        <v>5</v>
      </c>
      <c r="I31" s="12" t="inlineStr">
        <is>
          <t>No</t>
        </is>
      </c>
      <c r="J31" s="12" t="inlineStr">
        <is>
          <t>Evidence Level 1a. Supports expanding AID beyond T1D.</t>
        </is>
      </c>
      <c r="K31" s="12" t="inlineStr">
        <is>
          <t>https://doi.org/10.1002/edm2.70178</t>
        </is>
      </c>
    </row>
    <row r="32">
      <c r="A32" s="12" t="inlineStr">
        <is>
          <t>EASD/ADA Position: Individualizing Diabetes Technology</t>
        </is>
      </c>
      <c r="B32" s="12" t="inlineStr">
        <is>
          <t>Bruttomesso D et al.</t>
        </is>
      </c>
      <c r="C32" s="12" t="inlineStr">
        <is>
          <t>Diabetes Care + Diabetologia</t>
        </is>
      </c>
      <c r="D32" s="12" t="n">
        <v>2026</v>
      </c>
      <c r="E32" s="12" t="inlineStr">
        <is>
          <t>All</t>
        </is>
      </c>
      <c r="F32" s="12" t="inlineStr">
        <is>
          <t>Technology / Equity</t>
        </is>
      </c>
      <c r="G32" s="12" t="inlineStr">
        <is>
          <t>Joint position: individualized tech approach; CGM at diagnosis; fewer restrictions on AID initiation</t>
        </is>
      </c>
      <c r="H32" s="12" t="n">
        <v>5</v>
      </c>
      <c r="I32" s="12" t="inlineStr">
        <is>
          <t>No</t>
        </is>
      </c>
      <c r="J32" s="12" t="inlineStr">
        <is>
          <t>Evidence Level G (guideline). Dual-published EASD+ADA. Impacts all technology access analysis.</t>
        </is>
      </c>
      <c r="K32" s="12" t="inlineStr">
        <is>
          <t>https://doi.org/10.2337/dci26-0018</t>
        </is>
      </c>
    </row>
    <row r="33">
      <c r="A33" s="12" t="inlineStr">
        <is>
          <t>Orforglipron superior to oral semaglutide: ACHIEVE-3 results</t>
        </is>
      </c>
      <c r="B33" s="12" t="inlineStr">
        <is>
          <t>Eli Lilly / Multiple</t>
        </is>
      </c>
      <c r="C33" s="12" t="inlineStr">
        <is>
          <t>The Lancet</t>
        </is>
      </c>
      <c r="D33" s="12" t="n">
        <v>2026</v>
      </c>
      <c r="E33" s="12" t="inlineStr">
        <is>
          <t>T2D</t>
        </is>
      </c>
      <c r="F33" s="12" t="inlineStr">
        <is>
          <t>GLP-1 Oral</t>
        </is>
      </c>
      <c r="G33" s="12" t="inlineStr">
        <is>
          <t>Head-to-head Phase 3: orforglipron superior glycemic control vs oral semaglutide in T2D</t>
        </is>
      </c>
      <c r="H33" s="12" t="n">
        <v>5</v>
      </c>
      <c r="I33" s="12" t="inlineStr">
        <is>
          <t>No</t>
        </is>
      </c>
      <c r="J33" s="12" t="inlineStr">
        <is>
          <t>SILVER — Phase 3 RCT, peer-reviewed; FDA action date Apr 10 2026</t>
        </is>
      </c>
      <c r="K33" s="12" t="inlineStr">
        <is>
          <t>https://investor.lilly.com/news-releases/news-release-details/lillys-oral-glp-1-orforglipron-delivered-superior-blood-sugar</t>
        </is>
      </c>
    </row>
    <row r="34">
      <c r="A34" s="12" t="inlineStr">
        <is>
          <t>Teplizumab Stage 2 T1D: Clinical Practice Experience (3 adults)</t>
        </is>
      </c>
      <c r="B34" s="12" t="inlineStr">
        <is>
          <t>Guarnotta V et al.</t>
        </is>
      </c>
      <c r="C34" s="12" t="inlineStr">
        <is>
          <t>Diabetes Obes Metab</t>
        </is>
      </c>
      <c r="D34" s="12" t="n">
        <v>2026</v>
      </c>
      <c r="E34" s="12" t="inlineStr">
        <is>
          <t>T1D</t>
        </is>
      </c>
      <c r="F34" s="12" t="inlineStr">
        <is>
          <t>Immunotherapy/Prevention</t>
        </is>
      </c>
      <c r="G34" s="12" t="inlineStr">
        <is>
          <t>Real-world data on Tzield in 3 adult Stage 2 patients</t>
        </is>
      </c>
      <c r="H34" s="12" t="n">
        <v>4</v>
      </c>
      <c r="I34" s="12" t="inlineStr">
        <is>
          <t>No</t>
        </is>
      </c>
      <c r="J34" s="12" t="inlineStr">
        <is>
          <t>KEY THERAPY — first clinical practice report for teplizumab</t>
        </is>
      </c>
      <c r="K34" s="12" t="inlineStr">
        <is>
          <t>https://doi.org/10.1111/dom.70626</t>
        </is>
      </c>
    </row>
    <row r="35">
      <c r="A35" s="12" t="inlineStr">
        <is>
          <t>Use of CGM to stratify individuals without diabetes</t>
        </is>
      </c>
      <c r="B35" s="12" t="inlineStr">
        <is>
          <t>Communications Medicine authors</t>
        </is>
      </c>
      <c r="C35" s="12" t="inlineStr">
        <is>
          <t>Communications Medicine</t>
        </is>
      </c>
      <c r="D35" s="12" t="n">
        <v>2026</v>
      </c>
      <c r="E35" s="12" t="inlineStr">
        <is>
          <t>AI/ML</t>
        </is>
      </c>
      <c r="F35" s="12" t="inlineStr">
        <is>
          <t>Technology/Prediction</t>
        </is>
      </c>
      <c r="G35" s="12" t="inlineStr">
        <is>
          <t>CGM data for pre-diabetes risk stratification</t>
        </is>
      </c>
      <c r="H35" s="12" t="n">
        <v>4</v>
      </c>
      <c r="I35" s="12" t="inlineStr">
        <is>
          <t>No</t>
        </is>
      </c>
      <c r="J35" s="12" t="inlineStr">
        <is>
          <t>Tier 1 relevance: AI/ML Prediction Model Development</t>
        </is>
      </c>
      <c r="K35" s="12" t="inlineStr">
        <is>
          <t>https://pubmed.ncbi.nlm.nih.gov/41832215/</t>
        </is>
      </c>
    </row>
    <row r="36">
      <c r="A36" s="12" t="inlineStr">
        <is>
          <t>High-Fidelity Synthetic Data Replicates Clinical Prediction in Million-Patient Diabetes Cohort</t>
        </is>
      </c>
      <c r="B36" s="12" t="inlineStr">
        <is>
          <t>Ortuño F et al.</t>
        </is>
      </c>
      <c r="C36" s="12" t="inlineStr">
        <is>
          <t>Advanced Science</t>
        </is>
      </c>
      <c r="D36" s="12" t="n">
        <v>2026</v>
      </c>
      <c r="E36" s="12" t="inlineStr">
        <is>
          <t>AI/ML</t>
        </is>
      </c>
      <c r="F36" s="12" t="inlineStr">
        <is>
          <t>Methodology</t>
        </is>
      </c>
      <c r="G36" s="12" t="inlineStr">
        <is>
          <t>Synthetic data replicates clinical prediction performance</t>
        </is>
      </c>
      <c r="H36" s="12" t="n">
        <v>4</v>
      </c>
      <c r="I36" s="12" t="inlineStr">
        <is>
          <t>No</t>
        </is>
      </c>
      <c r="J36" s="12" t="inlineStr">
        <is>
          <t>Methodological advance for data-limited settings</t>
        </is>
      </c>
      <c r="K36" s="12" t="inlineStr">
        <is>
          <t>https://doi.org/10.1002/advs.202516196</t>
        </is>
      </c>
    </row>
    <row r="37">
      <c r="A37" s="12" t="inlineStr">
        <is>
          <t>Semaglutide as add-on therapy in LADA</t>
        </is>
      </c>
      <c r="B37" s="12" t="inlineStr">
        <is>
          <t>Lunati ME et al.</t>
        </is>
      </c>
      <c r="C37" s="12" t="inlineStr">
        <is>
          <t>J Clin Endocrinol Metab</t>
        </is>
      </c>
      <c r="D37" s="12" t="n">
        <v>2026</v>
      </c>
      <c r="E37" s="12" t="inlineStr">
        <is>
          <t>LADA</t>
        </is>
      </c>
      <c r="F37" s="12" t="inlineStr">
        <is>
          <t>Treatment</t>
        </is>
      </c>
      <c r="G37" s="12" t="inlineStr">
        <is>
          <t>Semaglutide adjunctive therapy in LADA patients</t>
        </is>
      </c>
      <c r="H37" s="12" t="n">
        <v>5</v>
      </c>
      <c r="I37" s="12" t="inlineStr">
        <is>
          <t>No</t>
        </is>
      </c>
      <c r="J37" s="12" t="inlineStr">
        <is>
          <t>HIGH PRIORITY — LADA is most neglected subtype; novel treatment approach</t>
        </is>
      </c>
      <c r="K37" s="12" t="inlineStr">
        <is>
          <t>https://doi.org/10.1210/clinem/dgag072</t>
        </is>
      </c>
    </row>
    <row r="38">
      <c r="A38" s="12" t="inlineStr">
        <is>
          <t>SGLT2 Inhibitor Canagliflozin Promotes β-Cell Regeneration in T2D</t>
        </is>
      </c>
      <c r="B38" s="12" t="inlineStr">
        <is>
          <t>Popescu I et al.</t>
        </is>
      </c>
      <c r="C38" s="12" t="inlineStr">
        <is>
          <t>J Cell Mol Med</t>
        </is>
      </c>
      <c r="D38" s="12" t="n">
        <v>2026</v>
      </c>
      <c r="E38" s="12" t="inlineStr">
        <is>
          <t>T2D</t>
        </is>
      </c>
      <c r="F38" s="12" t="inlineStr">
        <is>
          <t>Beta Cell Regen</t>
        </is>
      </c>
      <c r="G38" s="12" t="inlineStr">
        <is>
          <t>Canagliflozin promotes beta-cell regeneration and restores identity in polygenic T2D model</t>
        </is>
      </c>
      <c r="H38" s="12" t="n">
        <v>4</v>
      </c>
      <c r="I38" s="12" t="inlineStr">
        <is>
          <t>No</t>
        </is>
      </c>
      <c r="J38" s="12" t="inlineStr">
        <is>
          <t>Drug repurposing angle — existing drug with novel regenerative mechanism</t>
        </is>
      </c>
      <c r="K38" s="12" t="inlineStr">
        <is>
          <t>https://doi.org/10.1111/jcmm.71041</t>
        </is>
      </c>
    </row>
    <row r="39">
      <c r="A39" s="12" t="inlineStr">
        <is>
          <t>Polysaccharide [triple-domain cross-domain paper]</t>
        </is>
      </c>
      <c r="B39" s="12" t="inlineStr">
        <is>
          <t>Zhu R et al.</t>
        </is>
      </c>
      <c r="C39" s="12" t="inlineStr">
        <is>
          <t>J Agric Food Chem</t>
        </is>
      </c>
      <c r="D39" s="12" t="n">
        <v>2026</v>
      </c>
      <c r="E39" s="12" t="inlineStr">
        <is>
          <t>Biomarker/Microbiome/Complications</t>
        </is>
      </c>
      <c r="F39" s="12" t="inlineStr">
        <is>
          <t>Cross-Domain</t>
        </is>
      </c>
      <c r="G39" s="12" t="inlineStr">
        <is>
          <t>Spans Biomarker + Microbiome + Complications domains</t>
        </is>
      </c>
      <c r="H39" s="12" t="n">
        <v>3</v>
      </c>
      <c r="I39" s="12" t="inlineStr">
        <is>
          <t>No</t>
        </is>
      </c>
      <c r="J39" s="12" t="inlineStr">
        <is>
          <t>CROSS-DOMAIN: Triple-domain paper — highest synthesis value</t>
        </is>
      </c>
      <c r="K39" s="12" t="inlineStr">
        <is>
          <t>https://doi.org/10.1021/acs.jafc.5c16173</t>
        </is>
      </c>
    </row>
    <row r="40">
      <c r="A40" s="12" t="inlineStr">
        <is>
          <t>XAI methods for clinically meaningful glycemia prediction explanations</t>
        </is>
      </c>
      <c r="B40" s="12" t="inlineStr">
        <is>
          <t>Rotbei S et al.</t>
        </is>
      </c>
      <c r="C40" s="12" t="inlineStr">
        <is>
          <t>BMC Med Inform Decis Mak</t>
        </is>
      </c>
      <c r="D40" s="12" t="n">
        <v>2026</v>
      </c>
      <c r="E40" s="12" t="inlineStr">
        <is>
          <t>AI/ML</t>
        </is>
      </c>
      <c r="F40" s="12" t="inlineStr">
        <is>
          <t>Explainability</t>
        </is>
      </c>
      <c r="G40" s="12" t="inlineStr">
        <is>
          <t>Explainable AI for diabetes glycemia prediction</t>
        </is>
      </c>
      <c r="H40" s="12" t="n">
        <v>3</v>
      </c>
      <c r="I40" s="12" t="inlineStr">
        <is>
          <t>No</t>
        </is>
      </c>
      <c r="J40" s="12" t="inlineStr">
        <is>
          <t>Relevant to responsible AI in clinical diabetes prediction</t>
        </is>
      </c>
      <c r="K40" s="12" t="inlineStr">
        <is>
          <t>https://doi.org/10.1186/s12911-026-03420-5</t>
        </is>
      </c>
    </row>
    <row r="41">
      <c r="A41" s="26" t="inlineStr">
        <is>
          <t>SGLT2i + Colchicine Combo in CAD+T2DM (TriNetX)</t>
        </is>
      </c>
      <c r="B41" s="26" t="inlineStr">
        <is>
          <t>TriNetX Retrospective</t>
        </is>
      </c>
      <c r="C41" s="26" t="inlineStr">
        <is>
          <t>TBD (PMID 40907678)</t>
        </is>
      </c>
      <c r="D41" s="26" t="n">
        <v>2026</v>
      </c>
      <c r="E41" s="26" t="inlineStr">
        <is>
          <t>T2D/CV</t>
        </is>
      </c>
      <c r="F41" s="26" t="inlineStr">
        <is>
          <t>Drug Combination</t>
        </is>
      </c>
      <c r="G41" s="26" t="inlineStr">
        <is>
          <t>12,235 matched pts/arm; significant MACE, mortality, HF reduction vs colchicine alone. Retrospective only.</t>
        </is>
      </c>
      <c r="H41" s="26" t="n">
        <v>4</v>
      </c>
      <c r="I41" s="26" t="inlineStr">
        <is>
          <t>No</t>
        </is>
      </c>
      <c r="J41" s="26" t="inlineStr">
        <is>
          <t>PARTIALLY_VALIDATED. No prospective RCT registered. Hypothesis-generating. Vetting date: 2026-04-13.</t>
        </is>
      </c>
      <c r="K41" s="26" t="inlineStr">
        <is>
          <t>https://pubmed.ncbi.nlm.nih.gov/40907678/</t>
        </is>
      </c>
    </row>
    <row r="42">
      <c r="A42" s="26" t="inlineStr">
        <is>
          <t>Toward Personalized Medicine in T1D (Teplizumab)</t>
        </is>
      </c>
      <c r="B42" s="26" t="inlineStr">
        <is>
          <t>Multiple</t>
        </is>
      </c>
      <c r="C42" s="26" t="inlineStr">
        <is>
          <t>Diabetes Obes Metab</t>
        </is>
      </c>
      <c r="D42" s="26" t="n">
        <v>2026</v>
      </c>
      <c r="E42" s="26" t="inlineStr">
        <is>
          <t>T1D</t>
        </is>
      </c>
      <c r="F42" s="26" t="inlineStr">
        <is>
          <t>Immunotherapy / Personalized</t>
        </is>
      </c>
      <c r="G42" s="26" t="inlineStr">
        <is>
          <t>Identifies exhausted T-cell phenotypes (PD-1+, TIGIT+, KLRG1+) predicting teplizumab response; recommends stage 2 intervention window.</t>
        </is>
      </c>
      <c r="H42" s="26" t="n">
        <v>5</v>
      </c>
      <c r="I42" s="26" t="inlineStr">
        <is>
          <t>No</t>
        </is>
      </c>
      <c r="J42" s="26" t="inlineStr">
        <is>
          <t>HIGH relevance to teplizumab decision prep. Stratification biomarkers for patient selection.</t>
        </is>
      </c>
      <c r="K42" s="26" t="inlineStr">
        <is>
          <t>https://pubmed.ncbi.nlm.nih.gov/41913320/</t>
        </is>
      </c>
    </row>
    <row r="43">
      <c r="A43" s="26" t="inlineStr">
        <is>
          <t>Predicted Meta-Omics for Microbiome Studies</t>
        </is>
      </c>
      <c r="B43" s="26" t="inlineStr">
        <is>
          <t>Multiple</t>
        </is>
      </c>
      <c r="C43" s="26" t="inlineStr">
        <is>
          <t>PLoS ONE</t>
        </is>
      </c>
      <c r="D43" s="26" t="n">
        <v>2026</v>
      </c>
      <c r="E43" s="26" t="inlineStr">
        <is>
          <t>Cross</t>
        </is>
      </c>
      <c r="F43" s="26" t="inlineStr">
        <is>
          <t>AI/ML + Microbiome</t>
        </is>
      </c>
      <c r="G43" s="26" t="inlineStr">
        <is>
          <t>ML models predicting metabolite/transcript abundances from metagenomics; validated on IBD classification (r=0.74-0.77).</t>
        </is>
      </c>
      <c r="H43" s="26" t="n">
        <v>4</v>
      </c>
      <c r="I43" s="26" t="inlineStr">
        <is>
          <t>No</t>
        </is>
      </c>
      <c r="J43" s="26" t="inlineStr">
        <is>
          <t>HIGH relevance to microbiome-ML pipeline research path. Cross-domain: AI/ML + Microbiome.</t>
        </is>
      </c>
      <c r="K43" s="26" t="inlineStr">
        <is>
          <t>https://pubmed.ncbi.nlm.nih.gov/41961886/</t>
        </is>
      </c>
    </row>
    <row r="44">
      <c r="A44" s="26" t="inlineStr">
        <is>
          <t>Text Messaging GLP-1 Transition in Safety-Net Care</t>
        </is>
      </c>
      <c r="B44" s="26" t="inlineStr">
        <is>
          <t>Multiple</t>
        </is>
      </c>
      <c r="C44" s="26" t="inlineStr">
        <is>
          <t>JMIR Formative Research</t>
        </is>
      </c>
      <c r="D44" s="26" t="n">
        <v>2026</v>
      </c>
      <c r="E44" s="26" t="inlineStr">
        <is>
          <t>T2D</t>
        </is>
      </c>
      <c r="F44" s="26" t="inlineStr">
        <is>
          <t>Health Equity + GLP-1</t>
        </is>
      </c>
      <c r="G44" s="26" t="inlineStr">
        <is>
          <t>Pilot SMS program for basal insulin→GLP-1 transition in multilingual safety-net clinics.</t>
        </is>
      </c>
      <c r="H44" s="26" t="n">
        <v>3</v>
      </c>
      <c r="I44" s="26" t="inlineStr">
        <is>
          <t>No</t>
        </is>
      </c>
      <c r="J44" s="26" t="inlineStr">
        <is>
          <t>MEDIUM-HIGH relevance. Bridges health equity + novel therapies. Cross-domain paper.</t>
        </is>
      </c>
      <c r="K44" s="26" t="inlineStr">
        <is>
          <t>https://pubmed.ncbi.nlm.nih.gov/41955563/</t>
        </is>
      </c>
    </row>
    <row r="45">
      <c r="A45" s="12" t="inlineStr">
        <is>
          <t>Multi-tissue multi-omics integration reveals tissue-specific pathways, gene networks and drug candidates for type 1 diabetes</t>
        </is>
      </c>
      <c r="B45" s="12" t="inlineStr">
        <is>
          <t>Blencowe M, Saleem Z, Liu R et al. (UCLA/Breakthrough T1D)</t>
        </is>
      </c>
      <c r="C45" s="12" t="inlineStr">
        <is>
          <t>Diabetologia</t>
        </is>
      </c>
      <c r="D45" s="12" t="n">
        <v>2026</v>
      </c>
      <c r="E45" s="12" t="inlineStr">
        <is>
          <t>T1D</t>
        </is>
      </c>
      <c r="F45" s="12" t="inlineStr">
        <is>
          <t>Multi-Omics / Drug Repurposing</t>
        </is>
      </c>
      <c r="G45" s="12" t="inlineStr">
        <is>
          <t>GWAS→network→drug screen identifies FYN, TAP1, LCK as key drivers; drug candidates validated against EMRs</t>
        </is>
      </c>
      <c r="H45" s="12" t="n">
        <v>5</v>
      </c>
      <c r="I45" s="12" t="inlineStr">
        <is>
          <t>Yes</t>
        </is>
      </c>
      <c r="J45" s="12" t="inlineStr">
        <is>
          <t>Tier 1 alignment: Multi-Omics + Drug Repurposing. Cross-referenced with our islet repurposing analysis.</t>
        </is>
      </c>
      <c r="K45" s="12" t="inlineStr">
        <is>
          <t>https://doi.org/10.1007/s00125-026-06721-6</t>
        </is>
      </c>
    </row>
    <row r="46">
      <c r="A46" s="12" t="inlineStr">
        <is>
          <t>GLP-1 receptor agonists for major cardiovascular and kidney outcomes in type 1 diabetes</t>
        </is>
      </c>
      <c r="B46" s="12" t="inlineStr">
        <is>
          <t>Johns Hopkins Bloomberg SPH</t>
        </is>
      </c>
      <c r="C46" s="12" t="inlineStr">
        <is>
          <t>Nature Medicine</t>
        </is>
      </c>
      <c r="D46" s="12" t="n">
        <v>2026</v>
      </c>
      <c r="E46" s="12" t="inlineStr">
        <is>
          <t>T1D</t>
        </is>
      </c>
      <c r="F46" s="12" t="inlineStr">
        <is>
          <t>GLP-1 / Cardiovascular</t>
        </is>
      </c>
      <c r="G46" s="12" t="inlineStr">
        <is>
          <t>175K-patient study: GLP-1 RAs reduce CV events 15%, ESKD 19% in T1D</t>
        </is>
      </c>
      <c r="H46" s="12" t="n">
        <v>5</v>
      </c>
      <c r="I46" s="12" t="inlineStr">
        <is>
          <t>Yes</t>
        </is>
      </c>
      <c r="J46" s="12" t="inlineStr">
        <is>
          <t>Largest GLP-1 study in T1D. Links to NCT05819138.</t>
        </is>
      </c>
      <c r="K46" s="12" t="inlineStr">
        <is>
          <t>https://doi.org/10.1038/s41591-026-04274-0</t>
        </is>
      </c>
    </row>
    <row r="47">
      <c r="A47" s="12" t="inlineStr">
        <is>
          <t>GLP-1 resistance: PAM enzyme variants reduce drug response in ~10% of people</t>
        </is>
      </c>
      <c r="B47" s="12" t="inlineStr">
        <is>
          <t>Stanford University</t>
        </is>
      </c>
      <c r="C47" s="12" t="inlineStr">
        <is>
          <t>Genome Medicine</t>
        </is>
      </c>
      <c r="D47" s="12" t="n">
        <v>2026</v>
      </c>
      <c r="E47" s="12" t="inlineStr">
        <is>
          <t>T1D/T2D</t>
        </is>
      </c>
      <c r="F47" s="12" t="inlineStr">
        <is>
          <t>Pharmacogenomics</t>
        </is>
      </c>
      <c r="G47" s="12" t="inlineStr">
        <is>
          <t>PAM variants in ~10% of population cause reduced GLP-1 bioactivity and lower HbA1c response</t>
        </is>
      </c>
      <c r="H47" s="12" t="n">
        <v>5</v>
      </c>
      <c r="I47" s="12" t="inlineStr">
        <is>
          <t>Yes</t>
        </is>
      </c>
      <c r="J47" s="12" t="inlineStr">
        <is>
          <t>Novel GWAS/Polygenic × GLP-1 intersection. Suggests pharmacogenomics alert domain.</t>
        </is>
      </c>
      <c r="K47" s="12" t="inlineStr">
        <is>
          <t>https://med.stanford.edu/news/all-news/2026/04/glp-1-diabetes.html</t>
        </is>
      </c>
    </row>
    <row r="48">
      <c r="A48" s="12" t="inlineStr">
        <is>
          <t>Dozens of AI disease-prediction models were trained on dubious data</t>
        </is>
      </c>
      <c r="B48" s="12" t="inlineStr">
        <is>
          <t>Basu M (reporting); Barnett A et al. (research)</t>
        </is>
      </c>
      <c r="C48" s="12" t="inlineStr">
        <is>
          <t>Nature</t>
        </is>
      </c>
      <c r="D48" s="12" t="n">
        <v>2026</v>
      </c>
      <c r="E48" s="12" t="inlineStr">
        <is>
          <t>Cross-cutting</t>
        </is>
      </c>
      <c r="F48" s="12" t="inlineStr">
        <is>
          <t>AI/ML Methodology</t>
        </is>
      </c>
      <c r="G48" s="12" t="inlineStr">
        <is>
          <t>124 papers used potentially fabricated health datasets for ML training; some models may be in clinical use</t>
        </is>
      </c>
      <c r="H48" s="12" t="n">
        <v>4</v>
      </c>
      <c r="I48" s="12" t="inlineStr">
        <is>
          <t>Yes</t>
        </is>
      </c>
      <c r="J48" s="12" t="inlineStr">
        <is>
          <t>Methodological caution for our AI/ML work. Added to Research Findings Summary.</t>
        </is>
      </c>
      <c r="K48" s="12" t="inlineStr">
        <is>
          <t>https://doi.org/10.1038/d41586-026-00697-4</t>
        </is>
      </c>
    </row>
  </sheetData>
  <autoFilter ref="A1:K2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12" min="1" max="1"/>
    <col width="22" customWidth="1" style="12" min="2" max="2"/>
    <col width="45" customWidth="1" style="12" min="3" max="3"/>
    <col width="50" customWidth="1" style="12" min="4" max="4"/>
    <col width="14" customWidth="1" style="12" min="5" max="5"/>
    <col width="10" customWidth="1" style="12" min="6" max="6"/>
  </cols>
  <sheetData>
    <row r="1" ht="15" customHeight="1" s="13">
      <c r="A1" s="21" t="inlineStr">
        <is>
          <t>Domain</t>
        </is>
      </c>
      <c r="B1" s="21" t="inlineStr">
        <is>
          <t>Sub-Area</t>
        </is>
      </c>
      <c r="C1" s="21" t="inlineStr">
        <is>
          <t>Description</t>
        </is>
      </c>
      <c r="D1" s="21" t="inlineStr">
        <is>
          <t>Key Questions</t>
        </is>
      </c>
      <c r="E1" s="21" t="inlineStr">
        <is>
          <t>Status</t>
        </is>
      </c>
      <c r="F1" s="21" t="inlineStr">
        <is>
          <t>Priority</t>
        </is>
      </c>
    </row>
    <row r="2" ht="23.85" customHeight="1" s="13">
      <c r="A2" s="15" t="inlineStr">
        <is>
          <t>Biology</t>
        </is>
      </c>
      <c r="B2" s="15" t="inlineStr">
        <is>
          <t>Beta Cell Regeneration</t>
        </is>
      </c>
      <c r="C2" s="15" t="inlineStr">
        <is>
          <t>Restoring or replacing insulin-producing cells</t>
        </is>
      </c>
      <c r="D2" s="15" t="inlineStr">
        <is>
          <t>Can we regenerate beta cells in vivo? Can stem cell islets scale?</t>
        </is>
      </c>
      <c r="E2" s="15" t="inlineStr">
        <is>
          <t>Very Active</t>
        </is>
      </c>
      <c r="F2" s="15" t="inlineStr">
        <is>
          <t>High</t>
        </is>
      </c>
    </row>
    <row r="3" ht="23.85" customHeight="1" s="13">
      <c r="A3" s="17" t="inlineStr">
        <is>
          <t>Biology</t>
        </is>
      </c>
      <c r="B3" s="17" t="inlineStr">
        <is>
          <t>Insulin Resistance Mechanisms</t>
        </is>
      </c>
      <c r="C3" s="17" t="inlineStr">
        <is>
          <t>Molecular basis of peripheral insulin resistance</t>
        </is>
      </c>
      <c r="D3" s="17" t="inlineStr">
        <is>
          <t>What drives IR at the cellular level? Can it be reversed?</t>
        </is>
      </c>
      <c r="E3" s="17" t="inlineStr">
        <is>
          <t>Active</t>
        </is>
      </c>
      <c r="F3" s="17" t="inlineStr">
        <is>
          <t>High</t>
        </is>
      </c>
    </row>
    <row r="4" ht="23.85" customHeight="1" s="13">
      <c r="A4" s="15" t="inlineStr">
        <is>
          <t>Biology</t>
        </is>
      </c>
      <c r="B4" s="15" t="inlineStr">
        <is>
          <t>Autoimmune Pathogenesis</t>
        </is>
      </c>
      <c r="C4" s="15" t="inlineStr">
        <is>
          <t>How the immune system destroys beta cells in T1D</t>
        </is>
      </c>
      <c r="D4" s="15" t="inlineStr">
        <is>
          <t>What triggers autoimmunity? Can we stop it?</t>
        </is>
      </c>
      <c r="E4" s="15" t="inlineStr">
        <is>
          <t>Very Active</t>
        </is>
      </c>
      <c r="F4" s="15" t="inlineStr">
        <is>
          <t>High</t>
        </is>
      </c>
    </row>
    <row r="5" ht="15" customHeight="1" s="13">
      <c r="A5" s="17" t="inlineStr">
        <is>
          <t>Biology</t>
        </is>
      </c>
      <c r="B5" s="17" t="inlineStr">
        <is>
          <t>Islet Microenvironment</t>
        </is>
      </c>
      <c r="C5" s="17" t="inlineStr">
        <is>
          <t>Pancreatic niche that supports beta cell function</t>
        </is>
      </c>
      <c r="D5" s="17" t="inlineStr">
        <is>
          <t>How does the islet milieu affect function and survival?</t>
        </is>
      </c>
      <c r="E5" s="17" t="inlineStr">
        <is>
          <t>Active</t>
        </is>
      </c>
      <c r="F5" s="17" t="inlineStr">
        <is>
          <t>Medium</t>
        </is>
      </c>
    </row>
    <row r="6" ht="15" customHeight="1" s="13">
      <c r="A6" s="15" t="inlineStr">
        <is>
          <t>Genetics</t>
        </is>
      </c>
      <c r="B6" s="15" t="inlineStr">
        <is>
          <t>GWAS / Polygenic Risk</t>
        </is>
      </c>
      <c r="C6" s="15" t="inlineStr">
        <is>
          <t>Genetic variants associated with diabetes risk</t>
        </is>
      </c>
      <c r="D6" s="15" t="inlineStr">
        <is>
          <t>Can PRS predict diabetes reliably across populations?</t>
        </is>
      </c>
      <c r="E6" s="15" t="inlineStr">
        <is>
          <t>Very Active</t>
        </is>
      </c>
      <c r="F6" s="15" t="inlineStr">
        <is>
          <t>High</t>
        </is>
      </c>
    </row>
    <row r="7" ht="15" customHeight="1" s="13">
      <c r="A7" s="17" t="inlineStr">
        <is>
          <t>Genetics</t>
        </is>
      </c>
      <c r="B7" s="17" t="inlineStr">
        <is>
          <t>Epigenetics / Methylation</t>
        </is>
      </c>
      <c r="C7" s="17" t="inlineStr">
        <is>
          <t>DNA methylation and histone modifications in diabetes</t>
        </is>
      </c>
      <c r="D7" s="17" t="inlineStr">
        <is>
          <t>Which epigenetic changes are causal vs. consequential?</t>
        </is>
      </c>
      <c r="E7" s="17" t="inlineStr">
        <is>
          <t>Active</t>
        </is>
      </c>
      <c r="F7" s="17" t="inlineStr">
        <is>
          <t>High</t>
        </is>
      </c>
    </row>
    <row r="8" ht="23.85" customHeight="1" s="13">
      <c r="A8" s="15" t="inlineStr">
        <is>
          <t>Genetics</t>
        </is>
      </c>
      <c r="B8" s="15" t="inlineStr">
        <is>
          <t>Monogenic Diabetes (MODY)</t>
        </is>
      </c>
      <c r="C8" s="15" t="inlineStr">
        <is>
          <t>Single-gene forms of diabetes</t>
        </is>
      </c>
      <c r="D8" s="15" t="inlineStr">
        <is>
          <t>How many patients are misdiagnosed? Can we improve screening?</t>
        </is>
      </c>
      <c r="E8" s="15" t="inlineStr">
        <is>
          <t>Active</t>
        </is>
      </c>
      <c r="F8" s="15" t="inlineStr">
        <is>
          <t>Medium</t>
        </is>
      </c>
    </row>
    <row r="9" ht="23.85" customHeight="1" s="13">
      <c r="A9" s="17" t="inlineStr">
        <is>
          <t>Genetics</t>
        </is>
      </c>
      <c r="B9" s="17" t="inlineStr">
        <is>
          <t>Gene-Environment Interaction</t>
        </is>
      </c>
      <c r="C9" s="17" t="inlineStr">
        <is>
          <t>How genes and environment combine to cause diabetes</t>
        </is>
      </c>
      <c r="D9" s="17" t="inlineStr">
        <is>
          <t>What environmental factors trigger disease in susceptible individuals?</t>
        </is>
      </c>
      <c r="E9" s="17" t="inlineStr">
        <is>
          <t>Active</t>
        </is>
      </c>
      <c r="F9" s="17" t="inlineStr">
        <is>
          <t>High</t>
        </is>
      </c>
    </row>
    <row r="10" ht="15" customHeight="1" s="13">
      <c r="A10" s="15" t="inlineStr">
        <is>
          <t>Immunology</t>
        </is>
      </c>
      <c r="B10" s="15" t="inlineStr">
        <is>
          <t>T Cell / B Cell Biology</t>
        </is>
      </c>
      <c r="C10" s="15" t="inlineStr">
        <is>
          <t>Adaptive immune response in T1D</t>
        </is>
      </c>
      <c r="D10" s="15" t="inlineStr">
        <is>
          <t>How do T and B cells coordinate beta cell destruction?</t>
        </is>
      </c>
      <c r="E10" s="15" t="inlineStr">
        <is>
          <t>Very Active</t>
        </is>
      </c>
      <c r="F10" s="15" t="inlineStr">
        <is>
          <t>High</t>
        </is>
      </c>
    </row>
    <row r="11" ht="15" customHeight="1" s="13">
      <c r="A11" s="17" t="inlineStr">
        <is>
          <t>Immunology</t>
        </is>
      </c>
      <c r="B11" s="17" t="inlineStr">
        <is>
          <t>Treg / CAR-Treg Therapy</t>
        </is>
      </c>
      <c r="C11" s="17" t="inlineStr">
        <is>
          <t>Engineering immune tolerance</t>
        </is>
      </c>
      <c r="D11" s="17" t="inlineStr">
        <is>
          <t>Can engineered Tregs provide lasting protection?</t>
        </is>
      </c>
      <c r="E11" s="17" t="inlineStr">
        <is>
          <t>Very Active</t>
        </is>
      </c>
      <c r="F11" s="17" t="inlineStr">
        <is>
          <t>High</t>
        </is>
      </c>
    </row>
    <row r="12" ht="23.85" customHeight="1" s="13">
      <c r="A12" s="15" t="inlineStr">
        <is>
          <t>Immunology</t>
        </is>
      </c>
      <c r="B12" s="15" t="inlineStr">
        <is>
          <t>Inflammation in T2D</t>
        </is>
      </c>
      <c r="C12" s="15" t="inlineStr">
        <is>
          <t>Chronic low-grade inflammation driving IR</t>
        </is>
      </c>
      <c r="D12" s="15" t="inlineStr">
        <is>
          <t>What are the key inflammatory mediators? Can they be targeted?</t>
        </is>
      </c>
      <c r="E12" s="15" t="inlineStr">
        <is>
          <t>Active</t>
        </is>
      </c>
      <c r="F12" s="15" t="inlineStr">
        <is>
          <t>Medium</t>
        </is>
      </c>
    </row>
    <row r="13" ht="23.85" customHeight="1" s="13">
      <c r="A13" s="17" t="inlineStr">
        <is>
          <t>Technology</t>
        </is>
      </c>
      <c r="B13" s="17" t="inlineStr">
        <is>
          <t>Closed-Loop / Artificial Pancreas</t>
        </is>
      </c>
      <c r="C13" s="17" t="inlineStr">
        <is>
          <t>Automated insulin delivery systems</t>
        </is>
      </c>
      <c r="D13" s="17" t="inlineStr">
        <is>
          <t>Can fully closed-loop eliminate manual management?</t>
        </is>
      </c>
      <c r="E13" s="17" t="inlineStr">
        <is>
          <t>Very Active</t>
        </is>
      </c>
      <c r="F13" s="17" t="inlineStr">
        <is>
          <t>High</t>
        </is>
      </c>
    </row>
    <row r="14" ht="15" customHeight="1" s="13">
      <c r="A14" s="15" t="inlineStr">
        <is>
          <t>Technology</t>
        </is>
      </c>
      <c r="B14" s="15" t="inlineStr">
        <is>
          <t>CGM Advances</t>
        </is>
      </c>
      <c r="C14" s="15" t="inlineStr">
        <is>
          <t>Continuous glucose monitoring improvements</t>
        </is>
      </c>
      <c r="D14" s="15" t="inlineStr">
        <is>
          <t>How far can accuracy and wearability improve?</t>
        </is>
      </c>
      <c r="E14" s="15" t="inlineStr">
        <is>
          <t>Active</t>
        </is>
      </c>
      <c r="F14" s="15" t="inlineStr">
        <is>
          <t>Medium</t>
        </is>
      </c>
    </row>
    <row r="15" ht="15" customHeight="1" s="13">
      <c r="A15" s="17" t="inlineStr">
        <is>
          <t>Technology</t>
        </is>
      </c>
      <c r="B15" s="17" t="inlineStr">
        <is>
          <t>Digital Health / Apps</t>
        </is>
      </c>
      <c r="C15" s="17" t="inlineStr">
        <is>
          <t>Mobile health, telemedicine, remote monitoring</t>
        </is>
      </c>
      <c r="D15" s="17" t="inlineStr">
        <is>
          <t>Can digital tools improve outcomes at scale?</t>
        </is>
      </c>
      <c r="E15" s="17" t="inlineStr">
        <is>
          <t>Active</t>
        </is>
      </c>
      <c r="F15" s="17" t="inlineStr">
        <is>
          <t>Medium</t>
        </is>
      </c>
    </row>
    <row r="16" ht="15" customHeight="1" s="13">
      <c r="A16" s="15" t="inlineStr">
        <is>
          <t>Pharmacology</t>
        </is>
      </c>
      <c r="B16" s="15" t="inlineStr">
        <is>
          <t>GLP-1 / Multi-Agonists</t>
        </is>
      </c>
      <c r="C16" s="15" t="inlineStr">
        <is>
          <t>Incretin-based therapies and combinations</t>
        </is>
      </c>
      <c r="D16" s="15" t="inlineStr">
        <is>
          <t>What is the ceiling for multi-agonist efficacy?</t>
        </is>
      </c>
      <c r="E16" s="15" t="inlineStr">
        <is>
          <t>Very Active</t>
        </is>
      </c>
      <c r="F16" s="15" t="inlineStr">
        <is>
          <t>High</t>
        </is>
      </c>
    </row>
    <row r="17" ht="23.85" customHeight="1" s="13">
      <c r="A17" s="17" t="inlineStr">
        <is>
          <t>Pharmacology</t>
        </is>
      </c>
      <c r="B17" s="17" t="inlineStr">
        <is>
          <t>Novel Targets</t>
        </is>
      </c>
      <c r="C17" s="17" t="inlineStr">
        <is>
          <t>Glucokinase, miRNA, metabolic-inflammation modulators</t>
        </is>
      </c>
      <c r="D17" s="17" t="inlineStr">
        <is>
          <t>What non-incretin mechanisms can we target?</t>
        </is>
      </c>
      <c r="E17" s="17" t="inlineStr">
        <is>
          <t>Active</t>
        </is>
      </c>
      <c r="F17" s="17" t="inlineStr">
        <is>
          <t>High</t>
        </is>
      </c>
    </row>
    <row r="18" ht="15" customHeight="1" s="13">
      <c r="A18" s="15" t="inlineStr">
        <is>
          <t>Pharmacology</t>
        </is>
      </c>
      <c r="B18" s="15" t="inlineStr">
        <is>
          <t>Drug Repurposing</t>
        </is>
      </c>
      <c r="C18" s="15" t="inlineStr">
        <is>
          <t>Existing drugs with diabetes-relevant effects</t>
        </is>
      </c>
      <c r="D18" s="15" t="inlineStr">
        <is>
          <t>Which approved drugs have untapped diabetes benefits?</t>
        </is>
      </c>
      <c r="E18" s="15" t="inlineStr">
        <is>
          <t>Active</t>
        </is>
      </c>
      <c r="F18" s="15" t="inlineStr">
        <is>
          <t>Medium</t>
        </is>
      </c>
    </row>
    <row r="19" ht="15" customHeight="1" s="13">
      <c r="A19" s="17" t="inlineStr">
        <is>
          <t>Microbiome</t>
        </is>
      </c>
      <c r="B19" s="17" t="inlineStr">
        <is>
          <t>Gut-Pancreas Axis</t>
        </is>
      </c>
      <c r="C19" s="17" t="inlineStr">
        <is>
          <t>How gut bacteria influence diabetes</t>
        </is>
      </c>
      <c r="D19" s="17" t="inlineStr">
        <is>
          <t>Which species are protective vs. harmful?</t>
        </is>
      </c>
      <c r="E19" s="17" t="inlineStr">
        <is>
          <t>Very Active</t>
        </is>
      </c>
      <c r="F19" s="17" t="inlineStr">
        <is>
          <t>High</t>
        </is>
      </c>
    </row>
    <row r="20" ht="15" customHeight="1" s="13">
      <c r="A20" s="15" t="inlineStr">
        <is>
          <t>Microbiome</t>
        </is>
      </c>
      <c r="B20" s="15" t="inlineStr">
        <is>
          <t>Personalized Nutrition</t>
        </is>
      </c>
      <c r="C20" s="15" t="inlineStr">
        <is>
          <t>Microbiome-guided dietary interventions</t>
        </is>
      </c>
      <c r="D20" s="15" t="inlineStr">
        <is>
          <t>Can microbiome profiling predict diet response?</t>
        </is>
      </c>
      <c r="E20" s="15" t="inlineStr">
        <is>
          <t>Active</t>
        </is>
      </c>
      <c r="F20" s="15" t="inlineStr">
        <is>
          <t>High</t>
        </is>
      </c>
    </row>
    <row r="21" ht="15" customHeight="1" s="13">
      <c r="A21" s="17" t="inlineStr">
        <is>
          <t>Biomarkers</t>
        </is>
      </c>
      <c r="B21" s="17" t="inlineStr">
        <is>
          <t>Proteomic / Metabolomic</t>
        </is>
      </c>
      <c r="C21" s="17" t="inlineStr">
        <is>
          <t>Circulating protein and metabolite signatures</t>
        </is>
      </c>
      <c r="D21" s="17" t="inlineStr">
        <is>
          <t>Which biomarkers can predict onset or progression?</t>
        </is>
      </c>
      <c r="E21" s="17" t="inlineStr">
        <is>
          <t>Very Active</t>
        </is>
      </c>
      <c r="F21" s="17" t="inlineStr">
        <is>
          <t>High</t>
        </is>
      </c>
    </row>
    <row r="22" ht="15" customHeight="1" s="13">
      <c r="A22" s="15" t="inlineStr">
        <is>
          <t>Biomarkers</t>
        </is>
      </c>
      <c r="B22" s="15" t="inlineStr">
        <is>
          <t>Complication Prediction</t>
        </is>
      </c>
      <c r="C22" s="15" t="inlineStr">
        <is>
          <t>Markers for retinopathy, nephropathy, neuropathy</t>
        </is>
      </c>
      <c r="D22" s="15" t="inlineStr">
        <is>
          <t>Can we predict complications before clinical onset?</t>
        </is>
      </c>
      <c r="E22" s="15" t="inlineStr">
        <is>
          <t>Active</t>
        </is>
      </c>
      <c r="F22" s="15" t="inlineStr">
        <is>
          <t>High</t>
        </is>
      </c>
    </row>
    <row r="23" ht="15" customHeight="1" s="13">
      <c r="A23" s="17" t="inlineStr">
        <is>
          <t>Complications</t>
        </is>
      </c>
      <c r="B23" s="17" t="inlineStr">
        <is>
          <t>Diabetic Kidney Disease</t>
        </is>
      </c>
      <c r="C23" s="17" t="inlineStr">
        <is>
          <t>Renal damage from diabetes</t>
        </is>
      </c>
      <c r="D23" s="17" t="inlineStr">
        <is>
          <t>Can triple therapy (SGLT2i+MRA+GLP-1RA) halt CKD?</t>
        </is>
      </c>
      <c r="E23" s="17" t="inlineStr">
        <is>
          <t>Very Active</t>
        </is>
      </c>
      <c r="F23" s="17" t="inlineStr">
        <is>
          <t>High</t>
        </is>
      </c>
    </row>
    <row r="24" ht="15" customHeight="1" s="13">
      <c r="A24" s="15" t="inlineStr">
        <is>
          <t>Complications</t>
        </is>
      </c>
      <c r="B24" s="15" t="inlineStr">
        <is>
          <t>Retinopathy</t>
        </is>
      </c>
      <c r="C24" s="15" t="inlineStr">
        <is>
          <t>Eye damage from diabetes</t>
        </is>
      </c>
      <c r="D24" s="15" t="inlineStr">
        <is>
          <t>Can GLP-1RAs provide retinal protection?</t>
        </is>
      </c>
      <c r="E24" s="15" t="inlineStr">
        <is>
          <t>Active</t>
        </is>
      </c>
      <c r="F24" s="15" t="inlineStr">
        <is>
          <t>High</t>
        </is>
      </c>
    </row>
    <row r="25" ht="15" customHeight="1" s="13">
      <c r="A25" s="17" t="inlineStr">
        <is>
          <t>Complications</t>
        </is>
      </c>
      <c r="B25" s="17" t="inlineStr">
        <is>
          <t>Cardiovascular Disease</t>
        </is>
      </c>
      <c r="C25" s="17" t="inlineStr">
        <is>
          <t>Heart and vascular damage from diabetes</t>
        </is>
      </c>
      <c r="D25" s="17" t="inlineStr">
        <is>
          <t>How do new therapies reduce CV risk?</t>
        </is>
      </c>
      <c r="E25" s="17" t="inlineStr">
        <is>
          <t>Very Active</t>
        </is>
      </c>
      <c r="F25" s="17" t="inlineStr">
        <is>
          <t>High</t>
        </is>
      </c>
    </row>
    <row r="26" ht="15" customHeight="1" s="13">
      <c r="A26" s="15" t="inlineStr">
        <is>
          <t>Complications</t>
        </is>
      </c>
      <c r="B26" s="15" t="inlineStr">
        <is>
          <t>Neuropathy</t>
        </is>
      </c>
      <c r="C26" s="15" t="inlineStr">
        <is>
          <t>Nerve damage from diabetes</t>
        </is>
      </c>
      <c r="D26" s="15" t="inlineStr">
        <is>
          <t>Can we detect and reverse neuropathy earlier?</t>
        </is>
      </c>
      <c r="E26" s="15" t="inlineStr">
        <is>
          <t>Active</t>
        </is>
      </c>
      <c r="F26" s="15" t="inlineStr">
        <is>
          <t>Medium</t>
        </is>
      </c>
    </row>
    <row r="27" ht="15" customHeight="1" s="13">
      <c r="A27" s="17" t="inlineStr">
        <is>
          <t>Epidemiology</t>
        </is>
      </c>
      <c r="B27" s="17" t="inlineStr">
        <is>
          <t>Global Burden</t>
        </is>
      </c>
      <c r="C27" s="17" t="inlineStr">
        <is>
          <t>Worldwide prevalence and trends</t>
        </is>
      </c>
      <c r="D27" s="17" t="inlineStr">
        <is>
          <t>Where is growth fastest? What drives it?</t>
        </is>
      </c>
      <c r="E27" s="17" t="inlineStr">
        <is>
          <t>Published</t>
        </is>
      </c>
      <c r="F27" s="17" t="inlineStr">
        <is>
          <t>High</t>
        </is>
      </c>
    </row>
    <row r="28" ht="15" customHeight="1" s="13">
      <c r="A28" s="15" t="inlineStr">
        <is>
          <t>Epidemiology</t>
        </is>
      </c>
      <c r="B28" s="15" t="inlineStr">
        <is>
          <t>Health Equity</t>
        </is>
      </c>
      <c r="C28" s="15" t="inlineStr">
        <is>
          <t>Disparities in access and outcomes</t>
        </is>
      </c>
      <c r="D28" s="15" t="inlineStr">
        <is>
          <t>How do we close racial, economic, geographic gaps?</t>
        </is>
      </c>
      <c r="E28" s="15" t="inlineStr">
        <is>
          <t>Active</t>
        </is>
      </c>
      <c r="F28" s="15" t="inlineStr">
        <is>
          <t>High</t>
        </is>
      </c>
    </row>
    <row r="29" ht="15" customHeight="1" s="13">
      <c r="A29" s="17" t="inlineStr">
        <is>
          <t>Epidemiology</t>
        </is>
      </c>
      <c r="B29" s="17" t="inlineStr">
        <is>
          <t>Youth Diabetes</t>
        </is>
      </c>
      <c r="C29" s="17" t="inlineStr">
        <is>
          <t>Rising T2D in children and adolescents</t>
        </is>
      </c>
      <c r="D29" s="17" t="inlineStr">
        <is>
          <t>What is driving the youth T2D epidemic?</t>
        </is>
      </c>
      <c r="E29" s="17" t="inlineStr">
        <is>
          <t>Active</t>
        </is>
      </c>
      <c r="F29" s="17" t="inlineStr">
        <is>
          <t>High</t>
        </is>
      </c>
    </row>
    <row r="30" ht="15" customHeight="1" s="13">
      <c r="A30" s="15" t="inlineStr">
        <is>
          <t>Subtypes</t>
        </is>
      </c>
      <c r="B30" s="15" t="inlineStr">
        <is>
          <t>LADA / Type 3c</t>
        </is>
      </c>
      <c r="C30" s="15" t="inlineStr">
        <is>
          <t>Misdiagnosed and under-recognized diabetes types</t>
        </is>
      </c>
      <c r="D30" s="15" t="inlineStr">
        <is>
          <t>How many patients are incorrectly classified?</t>
        </is>
      </c>
      <c r="E30" s="15" t="inlineStr">
        <is>
          <t>Active</t>
        </is>
      </c>
      <c r="F30" s="15" t="inlineStr">
        <is>
          <t>Medium</t>
        </is>
      </c>
    </row>
    <row r="31" ht="15" customHeight="1" s="13">
      <c r="A31" s="17" t="inlineStr">
        <is>
          <t>Subtypes</t>
        </is>
      </c>
      <c r="B31" s="17" t="inlineStr">
        <is>
          <t>Gestational Diabetes</t>
        </is>
      </c>
      <c r="C31" s="17" t="inlineStr">
        <is>
          <t>Pregnancy-related diabetes and long-term risk</t>
        </is>
      </c>
      <c r="D31" s="17" t="inlineStr">
        <is>
          <t>How does GDM predict future T2D or LADA?</t>
        </is>
      </c>
      <c r="E31" s="17" t="inlineStr">
        <is>
          <t>Active</t>
        </is>
      </c>
      <c r="F31" s="17" t="inlineStr">
        <is>
          <t>Medium</t>
        </is>
      </c>
    </row>
    <row r="32" ht="15" customHeight="1" s="13">
      <c r="A32" s="15" t="inlineStr">
        <is>
          <t>AI/ML</t>
        </is>
      </c>
      <c r="B32" s="15" t="inlineStr">
        <is>
          <t>Risk Prediction</t>
        </is>
      </c>
      <c r="C32" s="15" t="inlineStr">
        <is>
          <t>Machine learning for diabetes onset prediction</t>
        </is>
      </c>
      <c r="D32" s="15" t="inlineStr">
        <is>
          <t>Can AI outperform traditional risk calculators?</t>
        </is>
      </c>
      <c r="E32" s="15" t="inlineStr">
        <is>
          <t>Very Active</t>
        </is>
      </c>
      <c r="F32" s="15" t="inlineStr">
        <is>
          <t>High</t>
        </is>
      </c>
    </row>
    <row r="33" ht="15" customHeight="1" s="13">
      <c r="A33" s="17" t="inlineStr">
        <is>
          <t>AI/ML</t>
        </is>
      </c>
      <c r="B33" s="17" t="inlineStr">
        <is>
          <t>Drug Discovery</t>
        </is>
      </c>
      <c r="C33" s="17" t="inlineStr">
        <is>
          <t>Computational approaches to find new treatments</t>
        </is>
      </c>
      <c r="D33" s="17" t="inlineStr">
        <is>
          <t>Can AI accelerate target identification?</t>
        </is>
      </c>
      <c r="E33" s="17" t="inlineStr">
        <is>
          <t>Active</t>
        </is>
      </c>
      <c r="F33" s="17" t="inlineStr">
        <is>
          <t>High</t>
        </is>
      </c>
    </row>
    <row r="34" ht="15" customHeight="1" s="13">
      <c r="A34" s="15" t="inlineStr">
        <is>
          <t>AI/ML</t>
        </is>
      </c>
      <c r="B34" s="15" t="inlineStr">
        <is>
          <t>Clinical Decision Support</t>
        </is>
      </c>
      <c r="C34" s="15" t="inlineStr">
        <is>
          <t>AI tools for treatment optimization</t>
        </is>
      </c>
      <c r="D34" s="15" t="inlineStr">
        <is>
          <t>Can AI personalize therapy selection?</t>
        </is>
      </c>
      <c r="E34" s="15" t="inlineStr">
        <is>
          <t>Active</t>
        </is>
      </c>
      <c r="F34" s="15" t="inlineStr">
        <is>
          <t>Medium</t>
        </is>
      </c>
    </row>
    <row r="35" ht="15" customHeight="1" s="13">
      <c r="A35" s="17" t="inlineStr">
        <is>
          <t>Prevention</t>
        </is>
      </c>
      <c r="B35" s="17" t="inlineStr">
        <is>
          <t>Lifestyle Programs</t>
        </is>
      </c>
      <c r="C35" s="17" t="inlineStr">
        <is>
          <t>Diet, exercise, behavioral interventions</t>
        </is>
      </c>
      <c r="D35" s="17" t="inlineStr">
        <is>
          <t>How do we scale DPP enrollment beyond 3%?</t>
        </is>
      </c>
      <c r="E35" s="17" t="inlineStr">
        <is>
          <t>Active</t>
        </is>
      </c>
      <c r="F35" s="17" t="inlineStr">
        <is>
          <t>High</t>
        </is>
      </c>
    </row>
    <row r="36" ht="15" customHeight="1" s="13">
      <c r="A36" s="15" t="inlineStr">
        <is>
          <t>Prevention</t>
        </is>
      </c>
      <c r="B36" s="15" t="inlineStr">
        <is>
          <t>Population Screening</t>
        </is>
      </c>
      <c r="C36" s="15" t="inlineStr">
        <is>
          <t>Identifying at-risk individuals before diagnosis</t>
        </is>
      </c>
      <c r="D36" s="15" t="inlineStr">
        <is>
          <t>Should we screen universally for T1D autoantibodies?</t>
        </is>
      </c>
      <c r="E36" s="15" t="inlineStr">
        <is>
          <t>Active</t>
        </is>
      </c>
      <c r="F36" s="15" t="inlineStr">
        <is>
          <t>High</t>
        </is>
      </c>
    </row>
  </sheetData>
  <autoFilter ref="A1:F3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2" min="1" max="1"/>
    <col width="12" customWidth="1" style="12" min="2" max="2"/>
  </cols>
  <sheetData>
    <row r="1" ht="15" customHeight="1" s="13">
      <c r="A1" s="22" t="inlineStr">
        <is>
          <t>Metric</t>
        </is>
      </c>
      <c r="B1" s="22" t="inlineStr">
        <is>
          <t>Count</t>
        </is>
      </c>
    </row>
    <row r="2" ht="15" customHeight="1" s="13">
      <c r="A2" s="23" t="inlineStr">
        <is>
          <t>Total Pipeline Entries</t>
        </is>
      </c>
      <c r="B2" s="24">
        <f>COUNTA('Therapy Pipeline'!A2:A82)</f>
        <v/>
      </c>
    </row>
    <row r="3" ht="15" customHeight="1" s="13">
      <c r="A3" s="23" t="inlineStr">
        <is>
          <t>T1D Therapies</t>
        </is>
      </c>
      <c r="B3" s="24">
        <f>COUNTIF('Therapy Pipeline'!A:A,"T1D")</f>
        <v/>
      </c>
    </row>
    <row r="4" ht="15" customHeight="1" s="13">
      <c r="A4" s="23" t="inlineStr">
        <is>
          <t>T2D Therapies</t>
        </is>
      </c>
      <c r="B4" s="24">
        <f>COUNTIF('Therapy Pipeline'!A:A,"T2D")</f>
        <v/>
      </c>
    </row>
    <row r="5" ht="15" customHeight="1" s="13">
      <c r="A5" s="23" t="inlineStr">
        <is>
          <t>Cross-Cutting Entries</t>
        </is>
      </c>
      <c r="B5" s="24">
        <f>COUNTIF('Therapy Pipeline'!A:A,"Cross")</f>
        <v/>
      </c>
    </row>
    <row r="6" ht="15" customHeight="1" s="13">
      <c r="A6" s="23" t="inlineStr">
        <is>
          <t>Biomarker Studies</t>
        </is>
      </c>
      <c r="B6" s="24">
        <f>COUNTIF('Therapy Pipeline'!A:A,"Biomarkers")</f>
        <v/>
      </c>
    </row>
    <row r="7" ht="15" customHeight="1" s="13">
      <c r="A7" s="23" t="inlineStr">
        <is>
          <t>AI/ML Entries</t>
        </is>
      </c>
      <c r="B7" s="24">
        <f>COUNTIF('Therapy Pipeline'!A:A,"AI/ML")</f>
        <v/>
      </c>
    </row>
    <row r="8" ht="15" customHeight="1" s="13">
      <c r="A8" s="23" t="inlineStr">
        <is>
          <t>Complication Studies</t>
        </is>
      </c>
      <c r="B8" s="24">
        <f>COUNTIF('Therapy Pipeline'!A:A,"Complications")</f>
        <v/>
      </c>
    </row>
    <row r="9" ht="15" customHeight="1" s="13">
      <c r="A9" s="23" t="inlineStr">
        <is>
          <t>Microbiome Studies</t>
        </is>
      </c>
      <c r="B9" s="24">
        <f>COUNTIF('Therapy Pipeline'!A:A,"Microbiome")</f>
        <v/>
      </c>
    </row>
    <row r="10" ht="15" customHeight="1" s="13">
      <c r="A10" s="23" t="inlineStr">
        <is>
          <t>Subtype Studies</t>
        </is>
      </c>
      <c r="B10" s="24">
        <f>COUNTIF('Therapy Pipeline'!A:A,"Subtypes")</f>
        <v/>
      </c>
    </row>
    <row r="11" ht="15" customHeight="1" s="13">
      <c r="A11" s="23" t="inlineStr">
        <is>
          <t>Epidemiology Entries</t>
        </is>
      </c>
      <c r="B11" s="24">
        <f>COUNTIF('Therapy Pipeline'!A:A,"Epidemiology")</f>
        <v/>
      </c>
    </row>
    <row r="12" ht="15" customHeight="1" s="13">
      <c r="A12" s="23" t="inlineStr">
        <is>
          <t>Phase 3 Trials</t>
        </is>
      </c>
      <c r="B12" s="24">
        <f>COUNTIF('Therapy Pipeline'!F:F,"Phase 3")</f>
        <v/>
      </c>
    </row>
    <row r="13" ht="15" customHeight="1" s="13">
      <c r="A13" s="23" t="inlineStr">
        <is>
          <t>Approved Therapies/Devices</t>
        </is>
      </c>
      <c r="B13" s="24">
        <f>COUNTIF('Therapy Pipeline'!F:F,"Approved")</f>
        <v/>
      </c>
    </row>
    <row r="14" ht="15" customHeight="1" s="13">
      <c r="A14" s="23" t="inlineStr">
        <is>
          <t>Total Papers Tracked</t>
        </is>
      </c>
      <c r="B14" s="24" t="n">
        <v>32</v>
      </c>
    </row>
    <row r="15" ht="15" customHeight="1" s="13">
      <c r="A15" s="23" t="inlineStr">
        <is>
          <t>Total Datasets Cataloged</t>
        </is>
      </c>
      <c r="B15" s="24">
        <f>COUNTA('Datasets &amp; Resources'!A2:A200)</f>
        <v/>
      </c>
    </row>
    <row r="16" ht="15" customHeight="1" s="13">
      <c r="A16" s="23" t="inlineStr">
        <is>
          <t>Research Domains Mapped</t>
        </is>
      </c>
      <c r="B16" s="24">
        <f>COUNTA('Research Domains'!A2:A200)</f>
        <v/>
      </c>
    </row>
    <row r="17" ht="15" customHeight="1" s="13">
      <c r="A17" s="23" t="inlineStr">
        <is>
          <t>High-Priority Domains</t>
        </is>
      </c>
      <c r="B17" s="24">
        <f>COUNTIF('Research Domains'!F:F,"High")</f>
        <v/>
      </c>
    </row>
    <row r="18">
      <c r="A18" s="12" t="inlineStr">
        <is>
          <t>Last Updated</t>
        </is>
      </c>
      <c r="B18" s="12" t="inlineStr">
        <is>
          <t>2026-04-03</t>
        </is>
      </c>
    </row>
    <row r="19">
      <c r="A19" s="12" t="inlineStr">
        <is>
          <t>Active FDA Reviews (2026)</t>
        </is>
      </c>
      <c r="B19" s="12" t="n">
        <v>6</v>
      </c>
    </row>
    <row r="20">
      <c r="A20" s="12" t="inlineStr">
        <is>
          <t>Phase 3 Recruiting (from API)</t>
        </is>
      </c>
      <c r="B20" s="12" t="n">
        <v>44</v>
      </c>
    </row>
    <row r="21">
      <c r="A21" s="12" t="inlineStr">
        <is>
          <t>Cross-Domain Papers (Current)</t>
        </is>
      </c>
      <c r="B21" s="12" t="n">
        <v>5</v>
      </c>
    </row>
    <row r="22">
      <c r="A22" s="12" t="inlineStr">
        <is>
          <t>PubMed Unique Papers (30-day)</t>
        </is>
      </c>
      <c r="B22" s="12" t="n">
        <v>129</v>
      </c>
    </row>
    <row r="23">
      <c r="A23" s="12" t="inlineStr">
        <is>
          <t>Monitor Report Date</t>
        </is>
      </c>
      <c r="B23" s="12" t="inlineStr">
        <is>
          <t>2026-04-03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2026-03-15T04:06:49Z</dcterms:created>
  <dcterms:modified xmlns:dcterms="http://purl.org/dc/terms/" xmlns:xsi="http://www.w3.org/2001/XMLSchema-instance" xsi:type="dcterms:W3CDTF">2026-07-17T15:07:47Z</dcterms:modified>
  <cp:revision>0</cp:revision>
</cp:coreProperties>
</file>