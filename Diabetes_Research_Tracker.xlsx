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erapy Pipeline" sheetId="1" state="visible" r:id="rId3"/>
    <sheet name="Datasets &amp; Resources" sheetId="2" state="visible" r:id="rId4"/>
    <sheet name="Paper Tracker" sheetId="3" state="visible" r:id="rId5"/>
    <sheet name="Research Domains" sheetId="4" state="visible" r:id="rId6"/>
    <sheet name="Summary Stats" sheetId="5" state="visible" r:id="rId7"/>
  </sheets>
  <definedNames>
    <definedName function="false" hidden="true" localSheetId="1" name="_xlnm._FilterDatabase" vbProcedure="false">'Datasets &amp; Resources'!$A$1:$G$23</definedName>
    <definedName function="false" hidden="true" localSheetId="2" name="_xlnm._FilterDatabase" vbProcedure="false">'Paper Tracker'!$A$1:$K$26</definedName>
    <definedName function="false" hidden="true" localSheetId="3" name="_xlnm._FilterDatabase" vbProcedure="false">'Research Domains'!$A$1:$F$36</definedName>
    <definedName function="false" hidden="true" localSheetId="0" name="_xlnm._FilterDatabase" vbProcedure="false">'Therapy Pipeline'!$A$1:$K$58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<sst xmlns="http://schemas.openxmlformats.org/spreadsheetml/2006/main" count="1191" uniqueCount="745">
  <si>
    <t xml:space="preserve">Domain</t>
  </si>
  <si>
    <t xml:space="preserve">Category</t>
  </si>
  <si>
    <t xml:space="preserve">Therapy / Study</t>
  </si>
  <si>
    <t xml:space="preserve">Organization</t>
  </si>
  <si>
    <t xml:space="preserve">Mechanism</t>
  </si>
  <si>
    <t xml:space="preserve">Phase</t>
  </si>
  <si>
    <t xml:space="preserve">Target</t>
  </si>
  <si>
    <t xml:space="preserve">Key Result</t>
  </si>
  <si>
    <t xml:space="preserve">Status</t>
  </si>
  <si>
    <t xml:space="preserve">Year</t>
  </si>
  <si>
    <t xml:space="preserve">Source URL</t>
  </si>
  <si>
    <t xml:space="preserve">T1D</t>
  </si>
  <si>
    <t xml:space="preserve">Cure - Stem Cell</t>
  </si>
  <si>
    <t xml:space="preserve">Zimislecel (VX-880)</t>
  </si>
  <si>
    <t xml:space="preserve">Vertex Pharmaceuticals</t>
  </si>
  <si>
    <t xml:space="preserve">Stem cell islets + immunosuppression</t>
  </si>
  <si>
    <t xml:space="preserve">Phase 3</t>
  </si>
  <si>
    <t xml:space="preserve">Beta cell replacement</t>
  </si>
  <si>
    <t xml:space="preserve">10/12 patients insulin-independent at 1 year; 50 enrolled</t>
  </si>
  <si>
    <t xml:space="preserve">Active</t>
  </si>
  <si>
    <t xml:space="preserve">https://www.nejm.org/doi/full/10.1056/NEJMoa2506549</t>
  </si>
  <si>
    <t xml:space="preserve">Engineered Islets (SC451)</t>
  </si>
  <si>
    <t xml:space="preserve">Sana Biotechnology</t>
  </si>
  <si>
    <t xml:space="preserve">Gene-edited immune-evasive islets</t>
  </si>
  <si>
    <t xml:space="preserve">Phase 1</t>
  </si>
  <si>
    <t xml:space="preserve">Islets without immunosuppression</t>
  </si>
  <si>
    <t xml:space="preserve">Insulin production at 6 months without immunosuppression</t>
  </si>
  <si>
    <t xml:space="preserve">https://www.breakthrought1d.org/news-and-updates/2025-top-t1d-advances-full-speed-ahead/</t>
  </si>
  <si>
    <t xml:space="preserve">CRISPR-Edited Islets</t>
  </si>
  <si>
    <t xml:space="preserve">Sana / Uppsala University</t>
  </si>
  <si>
    <t xml:space="preserve">CRISPR immune evasion</t>
  </si>
  <si>
    <t xml:space="preserve">Immune-evasive cells</t>
  </si>
  <si>
    <t xml:space="preserve">Patient producing insulin without immunosuppressants</t>
  </si>
  <si>
    <t xml:space="preserve">https://diatribe.org/diabetes-research/state-cure-cell-therapy-breakthroughs</t>
  </si>
  <si>
    <t xml:space="preserve">iPSC-Derived Autologous Islets</t>
  </si>
  <si>
    <t xml:space="preserve">Chinese Research Team</t>
  </si>
  <si>
    <t xml:space="preserve">Patient's own iPSC reprogrammed</t>
  </si>
  <si>
    <t xml:space="preserve">Case Study</t>
  </si>
  <si>
    <t xml:space="preserve">Autologous beta cells</t>
  </si>
  <si>
    <t xml:space="preserve">Insulin independence with patient's own cells</t>
  </si>
  <si>
    <t xml:space="preserve">Monitoring</t>
  </si>
  <si>
    <t xml:space="preserve">https://pmc.ncbi.nlm.nih.gov/articles/PMC12305139/</t>
  </si>
  <si>
    <t xml:space="preserve">Sernova Cell Pouch</t>
  </si>
  <si>
    <t xml:space="preserve">Sernova Corp</t>
  </si>
  <si>
    <t xml:space="preserve">Implantable device for islets</t>
  </si>
  <si>
    <t xml:space="preserve">Phase 1/2</t>
  </si>
  <si>
    <t xml:space="preserve">Islet engraftment device</t>
  </si>
  <si>
    <t xml:space="preserve">Some patients insulin-independent &gt;5 years</t>
  </si>
  <si>
    <t xml:space="preserve">https://tcoyd.org/2025/11/2025-diabetes-highlights/</t>
  </si>
  <si>
    <t xml:space="preserve">3D Pancreatic Organoids</t>
  </si>
  <si>
    <t xml:space="preserve">Multiple Groups</t>
  </si>
  <si>
    <t xml:space="preserve">Vascularized 3D organoid models</t>
  </si>
  <si>
    <t xml:space="preserve">Research</t>
  </si>
  <si>
    <t xml:space="preserve">Scalable beta cell platform</t>
  </si>
  <si>
    <t xml:space="preserve">Enhanced maturation and survival in organoid models</t>
  </si>
  <si>
    <t xml:space="preserve">https://www.mdpi.com/1422-0067/27/3/1280</t>
  </si>
  <si>
    <t xml:space="preserve">Autologous MSC-Derived Islets</t>
  </si>
  <si>
    <t xml:space="preserve">Clinical Trial (Youth)</t>
  </si>
  <si>
    <t xml:space="preserve">Adipose MSC to insulin cells</t>
  </si>
  <si>
    <t xml:space="preserve">Youth T1D transplant</t>
  </si>
  <si>
    <t xml:space="preserve">Clinical trial initiated early 2025 in youth</t>
  </si>
  <si>
    <t xml:space="preserve">Enrolling</t>
  </si>
  <si>
    <t xml:space="preserve">https://link.springer.com/chapter/10.1007/978-981-95-3612-2_9</t>
  </si>
  <si>
    <t xml:space="preserve">Cure - Immune</t>
  </si>
  <si>
    <t xml:space="preserve">Immune Bodyguard CAR-Tregs</t>
  </si>
  <si>
    <t xml:space="preserve">MUSC / Breakthrough T1D</t>
  </si>
  <si>
    <t xml:space="preserve">CAR-Treg immune protection</t>
  </si>
  <si>
    <t xml:space="preserve">Preclinical</t>
  </si>
  <si>
    <t xml:space="preserve">Autoimmune protection</t>
  </si>
  <si>
    <t xml:space="preserve">CAR-Tregs protect transplanted beta cells from immune attack</t>
  </si>
  <si>
    <t xml:space="preserve">https://www.sciencedaily.com/releases/2026/03/260302030648.htm</t>
  </si>
  <si>
    <t xml:space="preserve">Hybrid Immune System</t>
  </si>
  <si>
    <t xml:space="preserve">Stanford Medicine</t>
  </si>
  <si>
    <t xml:space="preserve">Blood stem cell + islet co-transplant</t>
  </si>
  <si>
    <t xml:space="preserve">Immune tolerance</t>
  </si>
  <si>
    <t xml:space="preserve">19/19 mice protected; 9/9 with established T1D cured</t>
  </si>
  <si>
    <t xml:space="preserve">https://www.sciencedaily.com/releases/2025/11/251126095018.htm</t>
  </si>
  <si>
    <t xml:space="preserve">ABA-201 TCR-Tregs</t>
  </si>
  <si>
    <t xml:space="preserve">Abata Therapeutics</t>
  </si>
  <si>
    <t xml:space="preserve">T1D-specific TCR-engineered Tregs</t>
  </si>
  <si>
    <t xml:space="preserve">Targeted immune modulation</t>
  </si>
  <si>
    <t xml:space="preserve">T1D-specific Treg therapy; trials initiated 2025</t>
  </si>
  <si>
    <t xml:space="preserve">https://www.frontiersin.org/journals/endocrinology/articles/10.3389/fendo.2025.1740102/full</t>
  </si>
  <si>
    <t xml:space="preserve">Cure - Gene Therapy</t>
  </si>
  <si>
    <t xml:space="preserve">KRIYA-839</t>
  </si>
  <si>
    <t xml:space="preserve">Kriya Therapeutics</t>
  </si>
  <si>
    <t xml:space="preserve">Insulin + glucokinase gene delivery</t>
  </si>
  <si>
    <t xml:space="preserve">Gene-based insulin production</t>
  </si>
  <si>
    <t xml:space="preserve">Delivers insulin + glucokinase genes to muscle tissue</t>
  </si>
  <si>
    <t xml:space="preserve">Early Stage</t>
  </si>
  <si>
    <t xml:space="preserve">https://tcoyd.org/2025/12/diabetes-predictions-2026/</t>
  </si>
  <si>
    <t xml:space="preserve">Prevention</t>
  </si>
  <si>
    <t xml:space="preserve">Tzield (Teplizumab)</t>
  </si>
  <si>
    <t xml:space="preserve">Provention Bio / Sanofi</t>
  </si>
  <si>
    <t xml:space="preserve">Anti-CD3 immunotherapy</t>
  </si>
  <si>
    <t xml:space="preserve">Phase 3 / Approved</t>
  </si>
  <si>
    <t xml:space="preserve">Delay T1D onset</t>
  </si>
  <si>
    <t xml:space="preserve">FDA-approved Stage 2; PETITE trial in children &lt;8</t>
  </si>
  <si>
    <t xml:space="preserve">Approved/Expanding</t>
  </si>
  <si>
    <t xml:space="preserve">https://www.type1strong.org/blog-post/top-type-1-diabetes-research-breakthroughs-to-watch-in-2025</t>
  </si>
  <si>
    <t xml:space="preserve">Baricitinib (BARICADE)</t>
  </si>
  <si>
    <t xml:space="preserve">Eli Lilly</t>
  </si>
  <si>
    <t xml:space="preserve">JAK inhibitor</t>
  </si>
  <si>
    <t xml:space="preserve">Preserve beta cells</t>
  </si>
  <si>
    <t xml:space="preserve">Oral pill; preserved C-peptide in BANDIT trial</t>
  </si>
  <si>
    <t xml:space="preserve">Enrolling 2026</t>
  </si>
  <si>
    <t xml:space="preserve">T1D Screening Programs</t>
  </si>
  <si>
    <t xml:space="preserve">TrialNet / ADA</t>
  </si>
  <si>
    <t xml:space="preserve">Autoantibody screening</t>
  </si>
  <si>
    <t xml:space="preserve">Clinical</t>
  </si>
  <si>
    <t xml:space="preserve">Early detection Stage 1-2</t>
  </si>
  <si>
    <t xml:space="preserve">Population screening identifying pre-symptomatic T1D</t>
  </si>
  <si>
    <t xml:space="preserve">https://diabetesjournals.org/care/article/49/Supplement_1/S27/163926/2-Diagnosis-and-Classification-of-Diabetes</t>
  </si>
  <si>
    <t xml:space="preserve">Treatment</t>
  </si>
  <si>
    <t xml:space="preserve">Tegoprubart (AT-1501)</t>
  </si>
  <si>
    <t xml:space="preserve">Eledon Pharmaceuticals</t>
  </si>
  <si>
    <t xml:space="preserve">Anti-CD40L antibody</t>
  </si>
  <si>
    <t xml:space="preserve">Phase 2</t>
  </si>
  <si>
    <t xml:space="preserve">Islet transplant support</t>
  </si>
  <si>
    <t xml:space="preserve">6/6 subjects achieved insulin independence</t>
  </si>
  <si>
    <t xml:space="preserve">https://breakthrought1d.org.uk/news/2025-a-year-of-breakthroughs-for-type-1-diabetes/</t>
  </si>
  <si>
    <t xml:space="preserve">Technology</t>
  </si>
  <si>
    <t xml:space="preserve">Inreda Bihormonal AP</t>
  </si>
  <si>
    <t xml:space="preserve">Inreda Diabetic</t>
  </si>
  <si>
    <t xml:space="preserve">Insulin + glucagon closed loop</t>
  </si>
  <si>
    <t xml:space="preserve">Fully automated pancreas</t>
  </si>
  <si>
    <t xml:space="preserve">80% TIR vs 60% standard pump; no user input needed</t>
  </si>
  <si>
    <t xml:space="preserve">Testing</t>
  </si>
  <si>
    <t xml:space="preserve">https://www.ondrugdelivery.com/closing-the-loop-the-latest-on-artificial-pancreas-systems/</t>
  </si>
  <si>
    <t xml:space="preserve">Eversense-3 Implantable CGM</t>
  </si>
  <si>
    <t xml:space="preserve">Senseonics</t>
  </si>
  <si>
    <t xml:space="preserve">6-month implantable sensor</t>
  </si>
  <si>
    <t xml:space="preserve">Approved</t>
  </si>
  <si>
    <t xml:space="preserve">Long-term CGM</t>
  </si>
  <si>
    <t xml:space="preserve">6-month wear; FDA approved in US and Europe</t>
  </si>
  <si>
    <t xml:space="preserve">https://www.byramhealthcare.com/blogs/diabetes-technology-updates-revolutionizing-care-in-2025</t>
  </si>
  <si>
    <t xml:space="preserve">Deep RL Closed-Loop Controller</t>
  </si>
  <si>
    <t xml:space="preserve">Academic Research</t>
  </si>
  <si>
    <t xml:space="preserve">Deep reinforcement learning</t>
  </si>
  <si>
    <t xml:space="preserve">AI-driven insulin dosing</t>
  </si>
  <si>
    <t xml:space="preserve">87.45% TIR median; lower hypoglycemia than baselines</t>
  </si>
  <si>
    <t xml:space="preserve">https://journals.plos.org/plosone/article?id=10.1371/journal.pone.0317662</t>
  </si>
  <si>
    <t xml:space="preserve">Next-Gen Hybrid Closed Loop</t>
  </si>
  <si>
    <t xml:space="preserve">Omnipod 5 / CamAPS FX</t>
  </si>
  <si>
    <t xml:space="preserve">Tubeless pump + CGM</t>
  </si>
  <si>
    <t xml:space="preserve">Simplified management</t>
  </si>
  <si>
    <t xml:space="preserve">Tubeless automated insulin delivery systems</t>
  </si>
  <si>
    <t xml:space="preserve">T2D</t>
  </si>
  <si>
    <t xml:space="preserve">Treatment - GLP-1</t>
  </si>
  <si>
    <t xml:space="preserve">Retatrutide (Triple G)</t>
  </si>
  <si>
    <t xml:space="preserve">GLP-1/GIP/Glucagon triple agonist</t>
  </si>
  <si>
    <t xml:space="preserve">Weight + glucose</t>
  </si>
  <si>
    <t xml:space="preserve">28.7% weight loss at 68 weeks in TRIUMPH-4</t>
  </si>
  <si>
    <t xml:space="preserve">https://www.diabetesincontrol.com/top-7-breakthroughs-in-type-2-diabetes-treatment-for-2025/</t>
  </si>
  <si>
    <t xml:space="preserve">Orforglipron</t>
  </si>
  <si>
    <t xml:space="preserve">Oral GLP-1 receptor agonist</t>
  </si>
  <si>
    <t xml:space="preserve">Oral glucose + weight</t>
  </si>
  <si>
    <t xml:space="preserve">Once-daily pill; strong A1C and weight results</t>
  </si>
  <si>
    <t xml:space="preserve">FDA 2026</t>
  </si>
  <si>
    <t xml:space="preserve">CagriSema</t>
  </si>
  <si>
    <t xml:space="preserve">Novo Nordisk</t>
  </si>
  <si>
    <t xml:space="preserve">Semaglutide + cagrilintide</t>
  </si>
  <si>
    <t xml:space="preserve">Dual-hormone therapy</t>
  </si>
  <si>
    <t xml:space="preserve">GLP-1 + amylin analog combination</t>
  </si>
  <si>
    <t xml:space="preserve">Tirzepatide for T1D</t>
  </si>
  <si>
    <t xml:space="preserve">GLP-1/GIP dual agonist</t>
  </si>
  <si>
    <t xml:space="preserve">T1D + obesity</t>
  </si>
  <si>
    <t xml:space="preserve">SURPASS-T1D-1 and -2 enrolling</t>
  </si>
  <si>
    <t xml:space="preserve">Treatment - Novel</t>
  </si>
  <si>
    <t xml:space="preserve">Dorzagliatin</t>
  </si>
  <si>
    <t xml:space="preserve">Hua Medicine</t>
  </si>
  <si>
    <t xml:space="preserve">Glucokinase activator</t>
  </si>
  <si>
    <t xml:space="preserve">Phase 1b (US)</t>
  </si>
  <si>
    <t xml:space="preserve">Glucose sensor repair</t>
  </si>
  <si>
    <t xml:space="preserve">First-in-class; improved beta cell function + reduced IR</t>
  </si>
  <si>
    <t xml:space="preserve">https://www.nature.com/articles/d43747-025-00071-9</t>
  </si>
  <si>
    <t xml:space="preserve">Insulin Icodec</t>
  </si>
  <si>
    <t xml:space="preserve">Once-weekly basal insulin</t>
  </si>
  <si>
    <t xml:space="preserve">Insulin simplification</t>
  </si>
  <si>
    <t xml:space="preserve">Non-inferior to daily basal in ONWARDS trials</t>
  </si>
  <si>
    <t xml:space="preserve">Efsitora Alpha</t>
  </si>
  <si>
    <t xml:space="preserve">Weekly insulin alternative to daily injections</t>
  </si>
  <si>
    <t xml:space="preserve">Multi-Agonist Peptides</t>
  </si>
  <si>
    <t xml:space="preserve">Multiple Companies</t>
  </si>
  <si>
    <t xml:space="preserve">Incretin + amylin combos</t>
  </si>
  <si>
    <t xml:space="preserve">Phase 2-3</t>
  </si>
  <si>
    <t xml:space="preserve">Hybrid metabolic therapy</t>
  </si>
  <si>
    <t xml:space="preserve">Integrating metabolic, immunologic, neuroendocrine pathways</t>
  </si>
  <si>
    <t xml:space="preserve">https://link.springer.com/article/10.1007/s00125-025-06581-6</t>
  </si>
  <si>
    <t xml:space="preserve">miRNA-Based Therapies</t>
  </si>
  <si>
    <t xml:space="preserve">MicroRNA modulation</t>
  </si>
  <si>
    <t xml:space="preserve">Novel regulatory targets</t>
  </si>
  <si>
    <t xml:space="preserve">miRNA alterations linked to T2D; therapeutic potential</t>
  </si>
  <si>
    <t xml:space="preserve">https://eurjmedres.biomedcentral.com/articles/10.1186/s40001-025-02682-5</t>
  </si>
  <si>
    <t xml:space="preserve">Remission</t>
  </si>
  <si>
    <t xml:space="preserve">SGLT2i + Calorie Restriction</t>
  </si>
  <si>
    <t xml:space="preserve">Multiple Centers</t>
  </si>
  <si>
    <t xml:space="preserve">Combination metabolic reset</t>
  </si>
  <si>
    <t xml:space="preserve">RCT</t>
  </si>
  <si>
    <t xml:space="preserve">Diabetes remission</t>
  </si>
  <si>
    <t xml:space="preserve">44% remission rate in randomized study</t>
  </si>
  <si>
    <t xml:space="preserve">Published</t>
  </si>
  <si>
    <t xml:space="preserve">https://www.medscape.com/viewarticle/turning-tide-type-2-diabetes-evidence-based-pathways-2025a100102t</t>
  </si>
  <si>
    <t xml:space="preserve">Beta Cell Recovery Pathways</t>
  </si>
  <si>
    <t xml:space="preserve">Dedifferentiation reversal</t>
  </si>
  <si>
    <t xml:space="preserve">Beta cell restoration</t>
  </si>
  <si>
    <t xml:space="preserve">T2D remission achievable through beta cell recovery</t>
  </si>
  <si>
    <t xml:space="preserve">https://link.springer.com/article/10.1007/s00125-025-06499-z</t>
  </si>
  <si>
    <t xml:space="preserve">Diabetes Prevention Program</t>
  </si>
  <si>
    <t xml:space="preserve">CDC / NIDDK</t>
  </si>
  <si>
    <t xml:space="preserve">Lifestyle intervention</t>
  </si>
  <si>
    <t xml:space="preserve">Implemented</t>
  </si>
  <si>
    <t xml:space="preserve">5-7% weight loss</t>
  </si>
  <si>
    <t xml:space="preserve">58% reduction in T2D risk; only 3% of eligible enrolled</t>
  </si>
  <si>
    <t xml:space="preserve">https://pmc.ncbi.nlm.nih.gov/articles/PMC12178622/</t>
  </si>
  <si>
    <t xml:space="preserve">Multilevel Community Programs</t>
  </si>
  <si>
    <t xml:space="preserve">Multiple / Public Health</t>
  </si>
  <si>
    <t xml:space="preserve">Community + system interventions</t>
  </si>
  <si>
    <t xml:space="preserve">Address health inequities</t>
  </si>
  <si>
    <t xml:space="preserve">Multi-level approaches needed to reduce disparities</t>
  </si>
  <si>
    <t xml:space="preserve">https://publichealth.jmir.org/2025/1/e70267</t>
  </si>
  <si>
    <t xml:space="preserve">Cross</t>
  </si>
  <si>
    <t xml:space="preserve">Drug Repurposing</t>
  </si>
  <si>
    <t xml:space="preserve">Metformin for Cancer</t>
  </si>
  <si>
    <t xml:space="preserve">Anti-cancer + metabolic</t>
  </si>
  <si>
    <t xml:space="preserve">Dual disease benefit</t>
  </si>
  <si>
    <t xml:space="preserve">Antidiabetic drugs show emerging anticancer effects</t>
  </si>
  <si>
    <t xml:space="preserve">https://www.sciencedirect.com/science/article/pii/S2405803325001062</t>
  </si>
  <si>
    <t xml:space="preserve">GLP-1RAs Beyond Diabetes</t>
  </si>
  <si>
    <t xml:space="preserve">Multiple</t>
  </si>
  <si>
    <t xml:space="preserve">Cardiovascular + renal protection</t>
  </si>
  <si>
    <t xml:space="preserve">Multi-organ benefit</t>
  </si>
  <si>
    <t xml:space="preserve">GLP-1RAs reduce CV events, slow CKD progression</t>
  </si>
  <si>
    <t xml:space="preserve">Biomarkers</t>
  </si>
  <si>
    <t xml:space="preserve">Proteomics</t>
  </si>
  <si>
    <t xml:space="preserve">Plasma Proteomics (UK Biobank)</t>
  </si>
  <si>
    <t xml:space="preserve">AstraZeneca / CGR</t>
  </si>
  <si>
    <t xml:space="preserve">Proteomic profiling</t>
  </si>
  <si>
    <t xml:space="preserve">Risk stratification</t>
  </si>
  <si>
    <t xml:space="preserve">617 proteins linked to T2D; FAM3D as target</t>
  </si>
  <si>
    <t xml:space="preserve">https://www.nature.com/articles/s41467-025-56695-z</t>
  </si>
  <si>
    <t xml:space="preserve">Multi-Omics</t>
  </si>
  <si>
    <t xml:space="preserve">AI Multi-Omics Integration</t>
  </si>
  <si>
    <t xml:space="preserve">Multiple / AI</t>
  </si>
  <si>
    <t xml:space="preserve">ML on combined omics</t>
  </si>
  <si>
    <t xml:space="preserve">Biomarker discovery</t>
  </si>
  <si>
    <t xml:space="preserve">AI+ML framework for integrated biomarker discovery</t>
  </si>
  <si>
    <t xml:space="preserve">https://www.frontiersin.org/journals/endocrinology/articles/10.3389/fendo.2025.1520436/full</t>
  </si>
  <si>
    <t xml:space="preserve">Epigenetics</t>
  </si>
  <si>
    <t xml:space="preserve">DIAMANTE CpG Analysis</t>
  </si>
  <si>
    <t xml:space="preserve">Multi-Ethnic Study</t>
  </si>
  <si>
    <t xml:space="preserve">DNA methylation mapping</t>
  </si>
  <si>
    <t xml:space="preserve">Epigenetic markers</t>
  </si>
  <si>
    <t xml:space="preserve">1,120 CpGs associated with T2D; CAMK1D, TP53INP1 mechanisms</t>
  </si>
  <si>
    <t xml:space="preserve">https://www.e-dmj.org/journal/view.php?doi=10.4093/dmj.2025.0041</t>
  </si>
  <si>
    <t xml:space="preserve">Metabolomics</t>
  </si>
  <si>
    <t xml:space="preserve">Diabetic Nephropathy Metabolites</t>
  </si>
  <si>
    <t xml:space="preserve">Urine metabolomics</t>
  </si>
  <si>
    <t xml:space="preserve">Complication prediction</t>
  </si>
  <si>
    <t xml:space="preserve">100% accuracy for biopsy-confirmed DN prediction</t>
  </si>
  <si>
    <t xml:space="preserve">https://journals.sagepub.com/doi/10.1177/1934578X251321758</t>
  </si>
  <si>
    <t xml:space="preserve">Inflammatory</t>
  </si>
  <si>
    <t xml:space="preserve">TNF-α Complication Marker</t>
  </si>
  <si>
    <t xml:space="preserve">Inflammatory profiling</t>
  </si>
  <si>
    <t xml:space="preserve">Multi-complication prediction</t>
  </si>
  <si>
    <t xml:space="preserve">TNF-α predicts DN, retinopathy, and CV disease</t>
  </si>
  <si>
    <t xml:space="preserve">https://pmc.ncbi.nlm.nih.gov/articles/PMC12941287/</t>
  </si>
  <si>
    <t xml:space="preserve">AI/ML</t>
  </si>
  <si>
    <t xml:space="preserve">Prediction</t>
  </si>
  <si>
    <t xml:space="preserve">ML Diabetes Risk Models</t>
  </si>
  <si>
    <t xml:space="preserve">XGBoost, RF, SVM, CNN</t>
  </si>
  <si>
    <t xml:space="preserve">Early detection</t>
  </si>
  <si>
    <t xml:space="preserve">AI identifies non-obvious predictors of diabetes</t>
  </si>
  <si>
    <t xml:space="preserve">https://www.frontiersin.org/journals/digital-health/articles/10.3389/fdgth.2025.1557467/full</t>
  </si>
  <si>
    <t xml:space="preserve">Complication Prediction</t>
  </si>
  <si>
    <t xml:space="preserve">AI Complication Forecasting</t>
  </si>
  <si>
    <t xml:space="preserve">Deep learning models</t>
  </si>
  <si>
    <t xml:space="preserve">Retinopathy, nephropathy</t>
  </si>
  <si>
    <t xml:space="preserve">FDA-approved models for automated detection</t>
  </si>
  <si>
    <t xml:space="preserve">https://journals.sagepub.com/doi/10.1177/19322968251365245</t>
  </si>
  <si>
    <t xml:space="preserve">Drug Discovery</t>
  </si>
  <si>
    <t xml:space="preserve">AI Drug Repurposing</t>
  </si>
  <si>
    <t xml:space="preserve">Computational perturbation models</t>
  </si>
  <si>
    <t xml:space="preserve">New therapeutic connections</t>
  </si>
  <si>
    <t xml:space="preserve">20 T2D drug connections; metformin-microbiome links</t>
  </si>
  <si>
    <t xml:space="preserve">https://advanced.onlinelibrary.wiley.com/doi/10.1002/advs.202411325</t>
  </si>
  <si>
    <t xml:space="preserve">Clinical Decision</t>
  </si>
  <si>
    <t xml:space="preserve">AI Retinopathy Screening</t>
  </si>
  <si>
    <t xml:space="preserve">FDA-Approved Systems</t>
  </si>
  <si>
    <t xml:space="preserve">Deep learning imaging</t>
  </si>
  <si>
    <t xml:space="preserve">Automated screening</t>
  </si>
  <si>
    <t xml:space="preserve">High sensitivity/specificity for DR detection</t>
  </si>
  <si>
    <t xml:space="preserve">Complications</t>
  </si>
  <si>
    <t xml:space="preserve">Kidney</t>
  </si>
  <si>
    <t xml:space="preserve">SGLT2i + MRA + GLP-1RA Combo</t>
  </si>
  <si>
    <t xml:space="preserve">ADA Guidelines</t>
  </si>
  <si>
    <t xml:space="preserve">Triple renoprotective</t>
  </si>
  <si>
    <t xml:space="preserve">Slow CKD progression</t>
  </si>
  <si>
    <t xml:space="preserve">SGLT2i, finerenone, GLP-1RA for diabetic kidney disease</t>
  </si>
  <si>
    <t xml:space="preserve">Guideline</t>
  </si>
  <si>
    <t xml:space="preserve">https://diabetesjournals.org/care/article/49/Supplement_1/S261/163919/12-Retinopathy-Neuropathy-and-Foot-Care-Standards</t>
  </si>
  <si>
    <t xml:space="preserve">Retinopathy</t>
  </si>
  <si>
    <t xml:space="preserve">GLP-1RA Retinal Protection</t>
  </si>
  <si>
    <t xml:space="preserve">Clinical Studies</t>
  </si>
  <si>
    <t xml:space="preserve">Anti-inflammatory retinal</t>
  </si>
  <si>
    <t xml:space="preserve">Slow DR progression</t>
  </si>
  <si>
    <t xml:space="preserve">GLP-1RAs reduce NPDR progression by 8-15%</t>
  </si>
  <si>
    <t xml:space="preserve">https://www.emjreviews.com/wp-content/uploads/2025/10/Treatment-of-Type-2-Diabetes.pdf</t>
  </si>
  <si>
    <t xml:space="preserve">Cardiovascular</t>
  </si>
  <si>
    <t xml:space="preserve">Cell Therapy for Diabetic CV</t>
  </si>
  <si>
    <t xml:space="preserve">Stem cell CV repair</t>
  </si>
  <si>
    <t xml:space="preserve">CV damage repair</t>
  </si>
  <si>
    <t xml:space="preserve">Cell-based therapy for diabetic cardiovascular complications</t>
  </si>
  <si>
    <t xml:space="preserve">https://pubmed.ncbi.nlm.nih.gov/39001568/</t>
  </si>
  <si>
    <t xml:space="preserve">Microbiome</t>
  </si>
  <si>
    <t xml:space="preserve">Therapeutics</t>
  </si>
  <si>
    <t xml:space="preserve">Akkermansia muciniphila</t>
  </si>
  <si>
    <t xml:space="preserve">Probiotic supplementation</t>
  </si>
  <si>
    <t xml:space="preserve">Improve insulin sensitivity</t>
  </si>
  <si>
    <t xml:space="preserve">Improved glycemic parameters and lipid metabolism</t>
  </si>
  <si>
    <t xml:space="preserve">https://www.mdpi.com/2072-6643/18/1/89</t>
  </si>
  <si>
    <t xml:space="preserve">Diagnostics</t>
  </si>
  <si>
    <t xml:space="preserve">Microbiome-Guided Nutrition</t>
  </si>
  <si>
    <t xml:space="preserve">Clinical Trial</t>
  </si>
  <si>
    <t xml:space="preserve">Personalized fiber intervention</t>
  </si>
  <si>
    <t xml:space="preserve">Targeted prevention</t>
  </si>
  <si>
    <t xml:space="preserve">Gut profile predicts fiber intervention response in prediabetes</t>
  </si>
  <si>
    <t xml:space="preserve">https://www.nature.com/articles/s41467-025-66498-x</t>
  </si>
  <si>
    <t xml:space="preserve">Biology</t>
  </si>
  <si>
    <t xml:space="preserve">Gut-Liver Metabolite Axis</t>
  </si>
  <si>
    <t xml:space="preserve">Harvard</t>
  </si>
  <si>
    <t xml:space="preserve">Microbial metabolite signaling</t>
  </si>
  <si>
    <t xml:space="preserve">Metabolic regulation</t>
  </si>
  <si>
    <t xml:space="preserve">Gut bacterial molecules travel to liver; control energy use</t>
  </si>
  <si>
    <t xml:space="preserve">https://www.sciencedaily.com/releases/2025/12/251214100926.htm</t>
  </si>
  <si>
    <t xml:space="preserve">Large-Scale Microbiome Map</t>
  </si>
  <si>
    <t xml:space="preserve">Multi-Center (34,500 people)</t>
  </si>
  <si>
    <t xml:space="preserve">Species-level profiling</t>
  </si>
  <si>
    <t xml:space="preserve">Health-microbe links</t>
  </si>
  <si>
    <t xml:space="preserve">Hundreds of species linked to health and diet markers</t>
  </si>
  <si>
    <t xml:space="preserve">https://medicalxpress.com/news/2025-12-large-scale-gut-microbiome-microbes.html</t>
  </si>
  <si>
    <t xml:space="preserve">Subtypes</t>
  </si>
  <si>
    <t xml:space="preserve">Classification</t>
  </si>
  <si>
    <t xml:space="preserve">LADA / SPIDDM Recognition</t>
  </si>
  <si>
    <t xml:space="preserve">ADA Standards 2026</t>
  </si>
  <si>
    <t xml:space="preserve">Autoantibody testing</t>
  </si>
  <si>
    <t xml:space="preserve">Reduce misdiagnosis</t>
  </si>
  <si>
    <t xml:space="preserve">4-14% of T2D patients actually have LADA</t>
  </si>
  <si>
    <t xml:space="preserve">Gestational DM → LADA Link</t>
  </si>
  <si>
    <t xml:space="preserve">Multiple Studies</t>
  </si>
  <si>
    <t xml:space="preserve">Autoantibody screening post-GDM</t>
  </si>
  <si>
    <t xml:space="preserve">GDM with GAD antibodies → high risk of LADA postpartum</t>
  </si>
  <si>
    <t xml:space="preserve">https://www.mdpi.com/1422-0067/26/13/6499</t>
  </si>
  <si>
    <t xml:space="preserve">Type 3c (Pancreatogenic)</t>
  </si>
  <si>
    <t xml:space="preserve">Exocrine + endocrine loss</t>
  </si>
  <si>
    <t xml:space="preserve">Correct diagnosis</t>
  </si>
  <si>
    <t xml:space="preserve">Commonly misdiagnosed as T2D; distinct management needed</t>
  </si>
  <si>
    <t xml:space="preserve">Epidemiology</t>
  </si>
  <si>
    <t xml:space="preserve">Global Burden</t>
  </si>
  <si>
    <t xml:space="preserve">Global Prevalence 2024</t>
  </si>
  <si>
    <t xml:space="preserve">IDF / Lancet</t>
  </si>
  <si>
    <t xml:space="preserve">Population surveillance</t>
  </si>
  <si>
    <t xml:space="preserve">Scope of crisis</t>
  </si>
  <si>
    <t xml:space="preserve">589 million adults with diabetes; projected 46% increase by 2050</t>
  </si>
  <si>
    <t xml:space="preserve">https://www.thelancet.com/article/S0140-6736(23)01301-6/fulltext</t>
  </si>
  <si>
    <t xml:space="preserve">Health Equity</t>
  </si>
  <si>
    <t xml:space="preserve">Technology Access Disparities</t>
  </si>
  <si>
    <t xml:space="preserve">Scoping Review</t>
  </si>
  <si>
    <t xml:space="preserve">Equity analysis</t>
  </si>
  <si>
    <t xml:space="preserve">Identify barriers</t>
  </si>
  <si>
    <t xml:space="preserve">Consistent disparities in CGM, pump, telehealth access</t>
  </si>
  <si>
    <t xml:space="preserve">https://link.springer.com/article/10.1007/s40200-026-01901-y</t>
  </si>
  <si>
    <t xml:space="preserve">Youth T2D Racial Disparities</t>
  </si>
  <si>
    <t xml:space="preserve">CDC / Multiple</t>
  </si>
  <si>
    <t xml:space="preserve">Youth prevention</t>
  </si>
  <si>
    <t xml:space="preserve">2-3x higher T2D rates in Black and Hispanic youth</t>
  </si>
  <si>
    <t xml:space="preserve">https://jphe.amegroups.org/article/view/10679/html</t>
  </si>
  <si>
    <t xml:space="preserve">Treatment Gap</t>
  </si>
  <si>
    <t xml:space="preserve">Global Treatment Coverage</t>
  </si>
  <si>
    <t xml:space="preserve">Lancet</t>
  </si>
  <si>
    <t xml:space="preserve">Access analysis</t>
  </si>
  <si>
    <t xml:space="preserve">Identify gaps</t>
  </si>
  <si>
    <t xml:space="preserve">Low/middle income countries: treatment hasn't kept pace with prevalence</t>
  </si>
  <si>
    <t xml:space="preserve">https://www.thelancet.com/journals/lancet/article/PIIS0140-6736(24)02317-1/fulltext</t>
  </si>
  <si>
    <t xml:space="preserve">Resource Name</t>
  </si>
  <si>
    <t xml:space="preserve">Type</t>
  </si>
  <si>
    <t xml:space="preserve">Focus Area</t>
  </si>
  <si>
    <t xml:space="preserve">Description</t>
  </si>
  <si>
    <t xml:space="preserve">Access URL</t>
  </si>
  <si>
    <t xml:space="preserve">Data Type</t>
  </si>
  <si>
    <t xml:space="preserve">Notes</t>
  </si>
  <si>
    <t xml:space="preserve">UK Biobank Proteomics Portal</t>
  </si>
  <si>
    <t xml:space="preserve">2,922 proteins vs T2D polygenic scores</t>
  </si>
  <si>
    <t xml:space="preserve">https://public.cgr.astrazeneca.com/t2d-pgs/v1/</t>
  </si>
  <si>
    <t xml:space="preserve">Interactive</t>
  </si>
  <si>
    <t xml:space="preserve">AstraZeneca/CGR portal</t>
  </si>
  <si>
    <t xml:space="preserve">T1D Knowledge Portal</t>
  </si>
  <si>
    <t xml:space="preserve">Aggregated genetic and genomic data for T1D</t>
  </si>
  <si>
    <t xml:space="preserve">https://t1d.hugeamp.org/</t>
  </si>
  <si>
    <t xml:space="preserve">Summary Stats</t>
  </si>
  <si>
    <t xml:space="preserve">Free access</t>
  </si>
  <si>
    <t xml:space="preserve">T2D Knowledge Portal (AMP-T2D)</t>
  </si>
  <si>
    <t xml:space="preserve">Genetic, epigenomic, clinical data for T2D</t>
  </si>
  <si>
    <t xml:space="preserve">https://t2d.hugeamp.org/</t>
  </si>
  <si>
    <t xml:space="preserve">Consortium data</t>
  </si>
  <si>
    <t xml:space="preserve">DIAGRAM Consortium</t>
  </si>
  <si>
    <t xml:space="preserve">Genomics</t>
  </si>
  <si>
    <t xml:space="preserve">Large-scale GWAS meta-analyses for T2D</t>
  </si>
  <si>
    <t xml:space="preserve">https://diagram-consortium.org/</t>
  </si>
  <si>
    <t xml:space="preserve">Downloadable</t>
  </si>
  <si>
    <t xml:space="preserve">GWAS Catalog (EBI)</t>
  </si>
  <si>
    <t xml:space="preserve">T1D/T2D</t>
  </si>
  <si>
    <t xml:space="preserve">Curated genome-wide association studies</t>
  </si>
  <si>
    <t xml:space="preserve">https://www.ebi.ac.uk/gwas/</t>
  </si>
  <si>
    <t xml:space="preserve">Catalog</t>
  </si>
  <si>
    <t xml:space="preserve">Search by trait</t>
  </si>
  <si>
    <t xml:space="preserve">ClinicalTrials.gov</t>
  </si>
  <si>
    <t xml:space="preserve">Clinical Trials</t>
  </si>
  <si>
    <t xml:space="preserve">Global registry of diabetes clinical trials</t>
  </si>
  <si>
    <t xml:space="preserve">https://clinicaltrials.gov/search?cond=diabetes</t>
  </si>
  <si>
    <t xml:space="preserve">Registry</t>
  </si>
  <si>
    <t xml:space="preserve">Filter by phase/status</t>
  </si>
  <si>
    <t xml:space="preserve">OpenTargets Platform</t>
  </si>
  <si>
    <t xml:space="preserve">Drug Targets</t>
  </si>
  <si>
    <t xml:space="preserve">Evidence-based target identification</t>
  </si>
  <si>
    <t xml:space="preserve">https://www.opentargets.org/</t>
  </si>
  <si>
    <t xml:space="preserve">Disease-target associations</t>
  </si>
  <si>
    <t xml:space="preserve">Human Protein Atlas</t>
  </si>
  <si>
    <t xml:space="preserve">General</t>
  </si>
  <si>
    <t xml:space="preserve">Protein expression across tissues incl. pancreas</t>
  </si>
  <si>
    <t xml:space="preserve">https://www.proteinatlas.org/</t>
  </si>
  <si>
    <t xml:space="preserve">Expression</t>
  </si>
  <si>
    <t xml:space="preserve">Islet-specific data</t>
  </si>
  <si>
    <t xml:space="preserve">GEO (Gene Expression Omnibus)</t>
  </si>
  <si>
    <t xml:space="preserve">Transcriptomics</t>
  </si>
  <si>
    <t xml:space="preserve">Public gene expression datasets</t>
  </si>
  <si>
    <t xml:space="preserve">https://www.ncbi.nlm.nih.gov/geo/</t>
  </si>
  <si>
    <t xml:space="preserve">Microarray/RNAseq</t>
  </si>
  <si>
    <t xml:space="preserve">Search: diabetes, islet</t>
  </si>
  <si>
    <t xml:space="preserve">Metabolomics Workbench</t>
  </si>
  <si>
    <t xml:space="preserve">Metabolomics data repository</t>
  </si>
  <si>
    <t xml:space="preserve">https://www.metabolomicsworkbench.org/</t>
  </si>
  <si>
    <t xml:space="preserve">Raw + Processed</t>
  </si>
  <si>
    <t xml:space="preserve">Diabetes-specific studies</t>
  </si>
  <si>
    <t xml:space="preserve">ENCODE Project</t>
  </si>
  <si>
    <t xml:space="preserve">Epigenomics</t>
  </si>
  <si>
    <t xml:space="preserve">Encyclopedia of DNA elements</t>
  </si>
  <si>
    <t xml:space="preserve">https://www.encodeproject.org/</t>
  </si>
  <si>
    <t xml:space="preserve">Regulatory</t>
  </si>
  <si>
    <t xml:space="preserve">Islet regulatory elements</t>
  </si>
  <si>
    <t xml:space="preserve">PubMed / PMC</t>
  </si>
  <si>
    <t xml:space="preserve">Literature</t>
  </si>
  <si>
    <t xml:space="preserve">Biomedical literature database</t>
  </si>
  <si>
    <t xml:space="preserve">https://pubmed.ncbi.nlm.nih.gov/</t>
  </si>
  <si>
    <t xml:space="preserve">MeSH term searches</t>
  </si>
  <si>
    <t xml:space="preserve">DIAMANTE GWAS Results</t>
  </si>
  <si>
    <t xml:space="preserve">Multi-ethnic T2D GWAS meta-analysis</t>
  </si>
  <si>
    <t xml:space="preserve">https://www.diagram-consortium.org/</t>
  </si>
  <si>
    <t xml:space="preserve">1,120 CpGs identified</t>
  </si>
  <si>
    <t xml:space="preserve">UK Biobank</t>
  </si>
  <si>
    <t xml:space="preserve">500K participant cohort with genomic + phenotype data</t>
  </si>
  <si>
    <t xml:space="preserve">https://www.ukbiobank.ac.uk/</t>
  </si>
  <si>
    <t xml:space="preserve">Multi-modal</t>
  </si>
  <si>
    <t xml:space="preserve">Application required</t>
  </si>
  <si>
    <t xml:space="preserve">dbGaP (NIDDK)</t>
  </si>
  <si>
    <t xml:space="preserve">NIDDK-funded diabetes genomic datasets</t>
  </si>
  <si>
    <t xml:space="preserve">https://www.ncbi.nlm.nih.gov/gap/</t>
  </si>
  <si>
    <t xml:space="preserve">Genomic</t>
  </si>
  <si>
    <t xml:space="preserve">Controlled access</t>
  </si>
  <si>
    <t xml:space="preserve">TrialNet</t>
  </si>
  <si>
    <t xml:space="preserve">T1D prevention trial network and screening data</t>
  </si>
  <si>
    <t xml:space="preserve">https://www.trialnet.org/</t>
  </si>
  <si>
    <t xml:space="preserve">TEDDY Study</t>
  </si>
  <si>
    <t xml:space="preserve">Longitudinal</t>
  </si>
  <si>
    <t xml:space="preserve">Environmental triggers of T1D in genetically at-risk</t>
  </si>
  <si>
    <t xml:space="preserve">https://teddy.epi.usf.edu/</t>
  </si>
  <si>
    <t xml:space="preserve">Birth cohort data</t>
  </si>
  <si>
    <t xml:space="preserve">Human Microbiome Project</t>
  </si>
  <si>
    <t xml:space="preserve">Reference microbiome datasets</t>
  </si>
  <si>
    <t xml:space="preserve">https://hmpdacc.org/</t>
  </si>
  <si>
    <t xml:space="preserve">Metagenomic</t>
  </si>
  <si>
    <t xml:space="preserve">Healthy + disease states</t>
  </si>
  <si>
    <t xml:space="preserve">STRING Database</t>
  </si>
  <si>
    <t xml:space="preserve">Interactomics</t>
  </si>
  <si>
    <t xml:space="preserve">Protein-protein interaction networks</t>
  </si>
  <si>
    <t xml:space="preserve">https://string-db.org/</t>
  </si>
  <si>
    <t xml:space="preserve">Network</t>
  </si>
  <si>
    <t xml:space="preserve">For pathway analysis</t>
  </si>
  <si>
    <t xml:space="preserve">Reactome</t>
  </si>
  <si>
    <t xml:space="preserve">Pathways</t>
  </si>
  <si>
    <t xml:space="preserve">Biological pathway database</t>
  </si>
  <si>
    <t xml:space="preserve">https://reactome.org/</t>
  </si>
  <si>
    <t xml:space="preserve">Pathway</t>
  </si>
  <si>
    <t xml:space="preserve">Insulin signaling pathways</t>
  </si>
  <si>
    <t xml:space="preserve">AlphaFold Protein Structure DB</t>
  </si>
  <si>
    <t xml:space="preserve">Structural</t>
  </si>
  <si>
    <t xml:space="preserve">Predicted 3D protein structures</t>
  </si>
  <si>
    <t xml:space="preserve">https://alphafold.ebi.ac.uk/</t>
  </si>
  <si>
    <t xml:space="preserve">3D Structure</t>
  </si>
  <si>
    <t xml:space="preserve">Drug target structures</t>
  </si>
  <si>
    <t xml:space="preserve">DrugBank</t>
  </si>
  <si>
    <t xml:space="preserve">Pharmacology</t>
  </si>
  <si>
    <t xml:space="preserve">Drug and target information</t>
  </si>
  <si>
    <t xml:space="preserve">https://go.drugbank.com/</t>
  </si>
  <si>
    <t xml:space="preserve">Drug Data</t>
  </si>
  <si>
    <t xml:space="preserve">Repurposing opportunities</t>
  </si>
  <si>
    <t xml:space="preserve">Title</t>
  </si>
  <si>
    <t xml:space="preserve">Authors/Group</t>
  </si>
  <si>
    <t xml:space="preserve">Journal</t>
  </si>
  <si>
    <t xml:space="preserve">Topic</t>
  </si>
  <si>
    <t xml:space="preserve">Key Finding</t>
  </si>
  <si>
    <t xml:space="preserve">Relevance (1-5)</t>
  </si>
  <si>
    <t xml:space="preserve">Read?</t>
  </si>
  <si>
    <t xml:space="preserve">DOI / URL</t>
  </si>
  <si>
    <t xml:space="preserve">Stem Cell–Derived Islets for T1D (Zimislecel)</t>
  </si>
  <si>
    <t xml:space="preserve">Vertex et al.</t>
  </si>
  <si>
    <t xml:space="preserve">NEJM</t>
  </si>
  <si>
    <t xml:space="preserve">Stem Cell Therapy</t>
  </si>
  <si>
    <t xml:space="preserve">Phase 3 results for zimislecel</t>
  </si>
  <si>
    <t xml:space="preserve">No</t>
  </si>
  <si>
    <t xml:space="preserve">The future of type 1 diabetes therapy</t>
  </si>
  <si>
    <t xml:space="preserve">The Lancet</t>
  </si>
  <si>
    <t xml:space="preserve">Treatment Overview</t>
  </si>
  <si>
    <t xml:space="preserve">Comprehensive review of T1D therapeutic landscape</t>
  </si>
  <si>
    <t xml:space="preserve">https://www.thelancet.com/journals/lancet/article/PIIS0140-6736(25)01438-2/fulltext</t>
  </si>
  <si>
    <t xml:space="preserve">Plasma proteomic markers &amp; polygenic risk of T2D</t>
  </si>
  <si>
    <t xml:space="preserve">AstraZeneca/CGR</t>
  </si>
  <si>
    <t xml:space="preserve">Nature Comms</t>
  </si>
  <si>
    <t xml:space="preserve">617 proteins associated with T2D risk; FAM3D target</t>
  </si>
  <si>
    <t xml:space="preserve">Multi-omics biomarker discovery in prediabetes</t>
  </si>
  <si>
    <t xml:space="preserve">Front Endocrinol</t>
  </si>
  <si>
    <t xml:space="preserve">T2D/Pre</t>
  </si>
  <si>
    <t xml:space="preserve">AI+ML multi-omics biomarker framework</t>
  </si>
  <si>
    <t xml:space="preserve">Epigenetic landscape of T2D: multi-omics CpG analysis</t>
  </si>
  <si>
    <t xml:space="preserve">Diabetes Metab J</t>
  </si>
  <si>
    <t xml:space="preserve">1,120 CpGs associated with T2D; CAMK1D mechanisms</t>
  </si>
  <si>
    <t xml:space="preserve">Regulatory T cell dysfunction in T1D</t>
  </si>
  <si>
    <t xml:space="preserve">Immunology</t>
  </si>
  <si>
    <t xml:space="preserve">Treg dysfunction review and therapeutic breakthroughs</t>
  </si>
  <si>
    <t xml:space="preserve">CAR T cell therapy in type 1 diabetes</t>
  </si>
  <si>
    <t xml:space="preserve">PMC</t>
  </si>
  <si>
    <t xml:space="preserve">Immunotherapy</t>
  </si>
  <si>
    <t xml:space="preserve">CAR-T approaches for T1D: what we know</t>
  </si>
  <si>
    <t xml:space="preserve">https://pmc.ncbi.nlm.nih.gov/articles/PMC12661798/</t>
  </si>
  <si>
    <t xml:space="preserve">Safe deep RL fully closed-loop AP controller</t>
  </si>
  <si>
    <t xml:space="preserve">PLOS ONE</t>
  </si>
  <si>
    <t xml:space="preserve">AI / Technology</t>
  </si>
  <si>
    <t xml:space="preserve">87.45% TIR; lower hypoglycemia than baselines</t>
  </si>
  <si>
    <t xml:space="preserve">Role of beta cell in T2D: new findings (last 5 years)</t>
  </si>
  <si>
    <t xml:space="preserve">Diabetologia</t>
  </si>
  <si>
    <t xml:space="preserve">Beta Cell Biology</t>
  </si>
  <si>
    <t xml:space="preserve">Advances in beta-cell development &amp; regeneration</t>
  </si>
  <si>
    <t xml:space="preserve">Regeneration</t>
  </si>
  <si>
    <t xml:space="preserve">Editorial: in vitro + in vivo regeneration advances</t>
  </si>
  <si>
    <t xml:space="preserve">https://www.frontiersin.org/journals/endocrinology/articles/10.3389/fendo.2026.1765933/full</t>
  </si>
  <si>
    <t xml:space="preserve">Gut microbiome predicts fiber responses in prediabetes</t>
  </si>
  <si>
    <t xml:space="preserve">Microbiome profile predicts dietary intervention response</t>
  </si>
  <si>
    <t xml:space="preserve">Diet, gut microbiome, and T1D: risk to opportunity</t>
  </si>
  <si>
    <t xml:space="preserve">Gut Microbes</t>
  </si>
  <si>
    <t xml:space="preserve">Diet shapes immunomodulatory metabolites affecting T1D</t>
  </si>
  <si>
    <t xml:space="preserve">https://www.tandfonline.com/doi/full/10.1080/19490976.2026.2614039</t>
  </si>
  <si>
    <t xml:space="preserve">ML for diabetes complication diagnosis</t>
  </si>
  <si>
    <t xml:space="preserve">Scheideman et al.</t>
  </si>
  <si>
    <t xml:space="preserve">J Diabetes Sci Tech</t>
  </si>
  <si>
    <t xml:space="preserve">AI / Complications</t>
  </si>
  <si>
    <t xml:space="preserve">ML reshaping complication diagnosis across DR, DN, neuropathy</t>
  </si>
  <si>
    <t xml:space="preserve">Global burden diabetes 1990-2021 + projections to 2050</t>
  </si>
  <si>
    <t xml:space="preserve">GBD Study</t>
  </si>
  <si>
    <t xml:space="preserve">Epi</t>
  </si>
  <si>
    <t xml:space="preserve">589M prevalence; 46% projected increase by 2050</t>
  </si>
  <si>
    <t xml:space="preserve">Foundational</t>
  </si>
  <si>
    <t xml:space="preserve">Worldwide diabetes prevalence &amp; treatment 1990-2022</t>
  </si>
  <si>
    <t xml:space="preserve">NCD-RisC</t>
  </si>
  <si>
    <t xml:space="preserve">Treatment Gaps</t>
  </si>
  <si>
    <t xml:space="preserve">Treatment not keeping pace with prevalence in LMICs</t>
  </si>
  <si>
    <t xml:space="preserve">Pharmacological therapies for T2D: future approaches</t>
  </si>
  <si>
    <t xml:space="preserve">Drug Pipeline</t>
  </si>
  <si>
    <t xml:space="preserve">Multi-agonists, inflammation modulators, ML-enabled discovery</t>
  </si>
  <si>
    <t xml:space="preserve">3D pancreatic organoids for functional beta cell replacement</t>
  </si>
  <si>
    <t xml:space="preserve">Int J Mol Sci</t>
  </si>
  <si>
    <t xml:space="preserve">Organoids</t>
  </si>
  <si>
    <t xml:space="preserve">Vascularization and immune protection in organoid models</t>
  </si>
  <si>
    <t xml:space="preserve">Innovation without inclusion: diabetes tech equity</t>
  </si>
  <si>
    <t xml:space="preserve">J Diabetes Metab Disord</t>
  </si>
  <si>
    <t xml:space="preserve">Equity</t>
  </si>
  <si>
    <t xml:space="preserve">Health Disparities</t>
  </si>
  <si>
    <t xml:space="preserve">Consistent disparities in CGM/pump/telehealth access</t>
  </si>
  <si>
    <t xml:space="preserve">Stem cell beta-cell therapies: encapsulation advances</t>
  </si>
  <si>
    <t xml:space="preserve">Cells</t>
  </si>
  <si>
    <t xml:space="preserve">Encapsulation</t>
  </si>
  <si>
    <t xml:space="preserve">Immunological hurdles in encapsulated islet therapies</t>
  </si>
  <si>
    <t xml:space="preserve">https://www.mdpi.com/2073-4409/15/2/191</t>
  </si>
  <si>
    <t xml:space="preserve">Next-gen therapeutics: lessons from current diabetes drugs</t>
  </si>
  <si>
    <t xml:space="preserve">Innovation Drug Disc</t>
  </si>
  <si>
    <t xml:space="preserve">Drug Design</t>
  </si>
  <si>
    <t xml:space="preserve">Lessons learned for next-generation diabetes therapeutics</t>
  </si>
  <si>
    <t xml:space="preserve">https://www.the-innovation.org/article/doi/10.59717/j.xinn-drugdisc.2026.100008</t>
  </si>
  <si>
    <t xml:space="preserve">Multilevel diabetes prevention interventions for equity</t>
  </si>
  <si>
    <t xml:space="preserve">JMIR Public Health</t>
  </si>
  <si>
    <t xml:space="preserve">Public Health</t>
  </si>
  <si>
    <t xml:space="preserve">Multi-level interventions needed to address disparities</t>
  </si>
  <si>
    <t xml:space="preserve">AI in diabetes prediction: 33-year bibliometric analysis</t>
  </si>
  <si>
    <t xml:space="preserve">Front Digital Health</t>
  </si>
  <si>
    <t xml:space="preserve">Literature Analysis</t>
  </si>
  <si>
    <t xml:space="preserve">Comprehensive mapping of AI/ML in diabetes prediction</t>
  </si>
  <si>
    <t xml:space="preserve">Emerging immunotherapies for T1D disease modification</t>
  </si>
  <si>
    <t xml:space="preserve">Review of immunotherapeutic approaches for T1D</t>
  </si>
  <si>
    <t xml:space="preserve">https://pmc.ncbi.nlm.nih.gov/articles/PMC11949705/</t>
  </si>
  <si>
    <t xml:space="preserve">ADA Standards of Care in Diabetes 2026</t>
  </si>
  <si>
    <t xml:space="preserve">ADA</t>
  </si>
  <si>
    <t xml:space="preserve">Diabetes Care</t>
  </si>
  <si>
    <t xml:space="preserve">All</t>
  </si>
  <si>
    <t xml:space="preserve">Guidelines</t>
  </si>
  <si>
    <t xml:space="preserve">Comprehensive clinical practice guidelines</t>
  </si>
  <si>
    <t xml:space="preserve">Annual reference</t>
  </si>
  <si>
    <t xml:space="preserve">https://diabetesjournals.org/care/article/49/Supplement_1/S13/163920/1-Improving-Care-and-Promoting-Health-in</t>
  </si>
  <si>
    <t xml:space="preserve">Reversing beta-cell dedifferentiation in T2D</t>
  </si>
  <si>
    <t xml:space="preserve">Exp Mol Med</t>
  </si>
  <si>
    <t xml:space="preserve">Mechanisms of dedifferentiation and reversal strategies</t>
  </si>
  <si>
    <t xml:space="preserve">Background</t>
  </si>
  <si>
    <t xml:space="preserve">https://www.nature.com/articles/s12276-023-01043-8</t>
  </si>
  <si>
    <t xml:space="preserve">Sub-Area</t>
  </si>
  <si>
    <t xml:space="preserve">Key Questions</t>
  </si>
  <si>
    <t xml:space="preserve">Priority</t>
  </si>
  <si>
    <t xml:space="preserve">Beta Cell Regeneration</t>
  </si>
  <si>
    <t xml:space="preserve">Restoring or replacing insulin-producing cells</t>
  </si>
  <si>
    <t xml:space="preserve">Can we regenerate beta cells in vivo? Can stem cell islets scale?</t>
  </si>
  <si>
    <t xml:space="preserve">Very Active</t>
  </si>
  <si>
    <t xml:space="preserve">High</t>
  </si>
  <si>
    <t xml:space="preserve">Insulin Resistance Mechanisms</t>
  </si>
  <si>
    <t xml:space="preserve">Molecular basis of peripheral insulin resistance</t>
  </si>
  <si>
    <t xml:space="preserve">What drives IR at the cellular level? Can it be reversed?</t>
  </si>
  <si>
    <t xml:space="preserve">Autoimmune Pathogenesis</t>
  </si>
  <si>
    <t xml:space="preserve">How the immune system destroys beta cells in T1D</t>
  </si>
  <si>
    <t xml:space="preserve">What triggers autoimmunity? Can we stop it?</t>
  </si>
  <si>
    <t xml:space="preserve">Islet Microenvironment</t>
  </si>
  <si>
    <t xml:space="preserve">Pancreatic niche that supports beta cell function</t>
  </si>
  <si>
    <t xml:space="preserve">How does the islet milieu affect function and survival?</t>
  </si>
  <si>
    <t xml:space="preserve">Medium</t>
  </si>
  <si>
    <t xml:space="preserve">Genetics</t>
  </si>
  <si>
    <t xml:space="preserve">GWAS / Polygenic Risk</t>
  </si>
  <si>
    <t xml:space="preserve">Genetic variants associated with diabetes risk</t>
  </si>
  <si>
    <t xml:space="preserve">Can PRS predict diabetes reliably across populations?</t>
  </si>
  <si>
    <t xml:space="preserve">Epigenetics / Methylation</t>
  </si>
  <si>
    <t xml:space="preserve">DNA methylation and histone modifications in diabetes</t>
  </si>
  <si>
    <t xml:space="preserve">Which epigenetic changes are causal vs. consequential?</t>
  </si>
  <si>
    <t xml:space="preserve">Monogenic Diabetes (MODY)</t>
  </si>
  <si>
    <t xml:space="preserve">Single-gene forms of diabetes</t>
  </si>
  <si>
    <t xml:space="preserve">How many patients are misdiagnosed? Can we improve screening?</t>
  </si>
  <si>
    <t xml:space="preserve">Gene-Environment Interaction</t>
  </si>
  <si>
    <t xml:space="preserve">How genes and environment combine to cause diabetes</t>
  </si>
  <si>
    <t xml:space="preserve">What environmental factors trigger disease in susceptible individuals?</t>
  </si>
  <si>
    <t xml:space="preserve">T Cell / B Cell Biology</t>
  </si>
  <si>
    <t xml:space="preserve">Adaptive immune response in T1D</t>
  </si>
  <si>
    <t xml:space="preserve">How do T and B cells coordinate beta cell destruction?</t>
  </si>
  <si>
    <t xml:space="preserve">Treg / CAR-Treg Therapy</t>
  </si>
  <si>
    <t xml:space="preserve">Engineering immune tolerance</t>
  </si>
  <si>
    <t xml:space="preserve">Can engineered Tregs provide lasting protection?</t>
  </si>
  <si>
    <t xml:space="preserve">Inflammation in T2D</t>
  </si>
  <si>
    <t xml:space="preserve">Chronic low-grade inflammation driving IR</t>
  </si>
  <si>
    <t xml:space="preserve">What are the key inflammatory mediators? Can they be targeted?</t>
  </si>
  <si>
    <t xml:space="preserve">Closed-Loop / Artificial Pancreas</t>
  </si>
  <si>
    <t xml:space="preserve">Automated insulin delivery systems</t>
  </si>
  <si>
    <t xml:space="preserve">Can fully closed-loop eliminate manual management?</t>
  </si>
  <si>
    <t xml:space="preserve">CGM Advances</t>
  </si>
  <si>
    <t xml:space="preserve">Continuous glucose monitoring improvements</t>
  </si>
  <si>
    <t xml:space="preserve">How far can accuracy and wearability improve?</t>
  </si>
  <si>
    <t xml:space="preserve">Digital Health / Apps</t>
  </si>
  <si>
    <t xml:space="preserve">Mobile health, telemedicine, remote monitoring</t>
  </si>
  <si>
    <t xml:space="preserve">Can digital tools improve outcomes at scale?</t>
  </si>
  <si>
    <t xml:space="preserve">GLP-1 / Multi-Agonists</t>
  </si>
  <si>
    <t xml:space="preserve">Incretin-based therapies and combinations</t>
  </si>
  <si>
    <t xml:space="preserve">What is the ceiling for multi-agonist efficacy?</t>
  </si>
  <si>
    <t xml:space="preserve">Novel Targets</t>
  </si>
  <si>
    <t xml:space="preserve">Glucokinase, miRNA, metabolic-inflammation modulators</t>
  </si>
  <si>
    <t xml:space="preserve">What non-incretin mechanisms can we target?</t>
  </si>
  <si>
    <t xml:space="preserve">Existing drugs with diabetes-relevant effects</t>
  </si>
  <si>
    <t xml:space="preserve">Which approved drugs have untapped diabetes benefits?</t>
  </si>
  <si>
    <t xml:space="preserve">Gut-Pancreas Axis</t>
  </si>
  <si>
    <t xml:space="preserve">How gut bacteria influence diabetes</t>
  </si>
  <si>
    <t xml:space="preserve">Which species are protective vs. harmful?</t>
  </si>
  <si>
    <t xml:space="preserve">Personalized Nutrition</t>
  </si>
  <si>
    <t xml:space="preserve">Microbiome-guided dietary interventions</t>
  </si>
  <si>
    <t xml:space="preserve">Can microbiome profiling predict diet response?</t>
  </si>
  <si>
    <t xml:space="preserve">Proteomic / Metabolomic</t>
  </si>
  <si>
    <t xml:space="preserve">Circulating protein and metabolite signatures</t>
  </si>
  <si>
    <t xml:space="preserve">Which biomarkers can predict onset or progression?</t>
  </si>
  <si>
    <t xml:space="preserve">Markers for retinopathy, nephropathy, neuropathy</t>
  </si>
  <si>
    <t xml:space="preserve">Can we predict complications before clinical onset?</t>
  </si>
  <si>
    <t xml:space="preserve">Diabetic Kidney Disease</t>
  </si>
  <si>
    <t xml:space="preserve">Renal damage from diabetes</t>
  </si>
  <si>
    <t xml:space="preserve">Can triple therapy (SGLT2i+MRA+GLP-1RA) halt CKD?</t>
  </si>
  <si>
    <t xml:space="preserve">Eye damage from diabetes</t>
  </si>
  <si>
    <t xml:space="preserve">Can GLP-1RAs provide retinal protection?</t>
  </si>
  <si>
    <t xml:space="preserve">Cardiovascular Disease</t>
  </si>
  <si>
    <t xml:space="preserve">Heart and vascular damage from diabetes</t>
  </si>
  <si>
    <t xml:space="preserve">How do new therapies reduce CV risk?</t>
  </si>
  <si>
    <t xml:space="preserve">Neuropathy</t>
  </si>
  <si>
    <t xml:space="preserve">Nerve damage from diabetes</t>
  </si>
  <si>
    <t xml:space="preserve">Can we detect and reverse neuropathy earlier?</t>
  </si>
  <si>
    <t xml:space="preserve">Worldwide prevalence and trends</t>
  </si>
  <si>
    <t xml:space="preserve">Where is growth fastest? What drives it?</t>
  </si>
  <si>
    <t xml:space="preserve">Disparities in access and outcomes</t>
  </si>
  <si>
    <t xml:space="preserve">How do we close racial, economic, geographic gaps?</t>
  </si>
  <si>
    <t xml:space="preserve">Youth Diabetes</t>
  </si>
  <si>
    <t xml:space="preserve">Rising T2D in children and adolescents</t>
  </si>
  <si>
    <t xml:space="preserve">What is driving the youth T2D epidemic?</t>
  </si>
  <si>
    <t xml:space="preserve">LADA / Type 3c</t>
  </si>
  <si>
    <t xml:space="preserve">Misdiagnosed and under-recognized diabetes types</t>
  </si>
  <si>
    <t xml:space="preserve">How many patients are incorrectly classified?</t>
  </si>
  <si>
    <t xml:space="preserve">Gestational Diabetes</t>
  </si>
  <si>
    <t xml:space="preserve">Pregnancy-related diabetes and long-term risk</t>
  </si>
  <si>
    <t xml:space="preserve">How does GDM predict future T2D or LADA?</t>
  </si>
  <si>
    <t xml:space="preserve">Risk Prediction</t>
  </si>
  <si>
    <t xml:space="preserve">Machine learning for diabetes onset prediction</t>
  </si>
  <si>
    <t xml:space="preserve">Can AI outperform traditional risk calculators?</t>
  </si>
  <si>
    <t xml:space="preserve">Computational approaches to find new treatments</t>
  </si>
  <si>
    <t xml:space="preserve">Can AI accelerate target identification?</t>
  </si>
  <si>
    <t xml:space="preserve">Clinical Decision Support</t>
  </si>
  <si>
    <t xml:space="preserve">AI tools for treatment optimization</t>
  </si>
  <si>
    <t xml:space="preserve">Can AI personalize therapy selection?</t>
  </si>
  <si>
    <t xml:space="preserve">Lifestyle Programs</t>
  </si>
  <si>
    <t xml:space="preserve">Diet, exercise, behavioral interventions</t>
  </si>
  <si>
    <t xml:space="preserve">How do we scale DPP enrollment beyond 3%?</t>
  </si>
  <si>
    <t xml:space="preserve">Population Screening</t>
  </si>
  <si>
    <t xml:space="preserve">Identifying at-risk individuals before diagnosis</t>
  </si>
  <si>
    <t xml:space="preserve">Should we screen universally for T1D autoantibodies?</t>
  </si>
  <si>
    <t xml:space="preserve">Metric</t>
  </si>
  <si>
    <t xml:space="preserve">Count</t>
  </si>
  <si>
    <t xml:space="preserve">Total Pipeline Entries</t>
  </si>
  <si>
    <t xml:space="preserve">T1D Therapies</t>
  </si>
  <si>
    <t xml:space="preserve">T2D Therapies</t>
  </si>
  <si>
    <t xml:space="preserve">Cross-Cutting Entries</t>
  </si>
  <si>
    <t xml:space="preserve">Biomarker Studies</t>
  </si>
  <si>
    <t xml:space="preserve">AI/ML Entries</t>
  </si>
  <si>
    <t xml:space="preserve">Complication Studies</t>
  </si>
  <si>
    <t xml:space="preserve">Microbiome Studies</t>
  </si>
  <si>
    <t xml:space="preserve">Subtype Studies</t>
  </si>
  <si>
    <t xml:space="preserve">Epidemiology Entries</t>
  </si>
  <si>
    <t xml:space="preserve">Phase 3 Trials</t>
  </si>
  <si>
    <t xml:space="preserve">Approved Therapies/Devices</t>
  </si>
  <si>
    <t xml:space="preserve">Total Papers Tracked</t>
  </si>
  <si>
    <t xml:space="preserve">Total Datasets Cataloged</t>
  </si>
  <si>
    <t xml:space="preserve">Research Domains Mapped</t>
  </si>
  <si>
    <t xml:space="preserve">High-Priority Domains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</si>
</sst>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14"/>
    <col collapsed="false" customWidth="true" hidden="false" outlineLevel="0" max="10" min="10" style="0" width="8"/>
    <col collapsed="false" customWidth="true" hidden="false" outlineLevel="0" max="11" min="11" style="0" width="3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n">
        <v>2025</v>
      </c>
      <c r="K2" s="3" t="s">
        <v>20</v>
      </c>
    </row>
    <row r="3" customFormat="false" ht="35.05" hidden="false" customHeight="false" outlineLevel="0" collapsed="false">
      <c r="A3" s="4" t="s">
        <v>11</v>
      </c>
      <c r="B3" s="4" t="s">
        <v>12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19</v>
      </c>
      <c r="J3" s="4" t="n">
        <v>2025</v>
      </c>
      <c r="K3" s="5" t="s">
        <v>27</v>
      </c>
    </row>
    <row r="4" customFormat="false" ht="23.85" hidden="false" customHeight="false" outlineLevel="0" collapsed="false">
      <c r="A4" s="2" t="s">
        <v>11</v>
      </c>
      <c r="B4" s="2" t="s">
        <v>12</v>
      </c>
      <c r="C4" s="2" t="s">
        <v>28</v>
      </c>
      <c r="D4" s="2" t="s">
        <v>29</v>
      </c>
      <c r="E4" s="2" t="s">
        <v>30</v>
      </c>
      <c r="F4" s="2" t="s">
        <v>24</v>
      </c>
      <c r="G4" s="2" t="s">
        <v>31</v>
      </c>
      <c r="H4" s="2" t="s">
        <v>32</v>
      </c>
      <c r="I4" s="2" t="s">
        <v>19</v>
      </c>
      <c r="J4" s="2" t="n">
        <v>2025</v>
      </c>
      <c r="K4" s="3" t="s">
        <v>33</v>
      </c>
    </row>
    <row r="5" customFormat="false" ht="23.85" hidden="false" customHeight="false" outlineLevel="0" collapsed="false">
      <c r="A5" s="4" t="s">
        <v>11</v>
      </c>
      <c r="B5" s="4" t="s">
        <v>12</v>
      </c>
      <c r="C5" s="4" t="s">
        <v>34</v>
      </c>
      <c r="D5" s="4" t="s">
        <v>35</v>
      </c>
      <c r="E5" s="4" t="s">
        <v>36</v>
      </c>
      <c r="F5" s="4" t="s">
        <v>37</v>
      </c>
      <c r="G5" s="4" t="s">
        <v>38</v>
      </c>
      <c r="H5" s="4" t="s">
        <v>39</v>
      </c>
      <c r="I5" s="4" t="s">
        <v>40</v>
      </c>
      <c r="J5" s="4" t="n">
        <v>2025</v>
      </c>
      <c r="K5" s="5" t="s">
        <v>41</v>
      </c>
    </row>
    <row r="6" customFormat="false" ht="23.85" hidden="false" customHeight="false" outlineLevel="0" collapsed="false">
      <c r="A6" s="2" t="s">
        <v>11</v>
      </c>
      <c r="B6" s="2" t="s">
        <v>12</v>
      </c>
      <c r="C6" s="2" t="s">
        <v>42</v>
      </c>
      <c r="D6" s="2" t="s">
        <v>43</v>
      </c>
      <c r="E6" s="2" t="s">
        <v>44</v>
      </c>
      <c r="F6" s="2" t="s">
        <v>45</v>
      </c>
      <c r="G6" s="2" t="s">
        <v>46</v>
      </c>
      <c r="H6" s="2" t="s">
        <v>47</v>
      </c>
      <c r="I6" s="2" t="s">
        <v>19</v>
      </c>
      <c r="J6" s="2" t="n">
        <v>2025</v>
      </c>
      <c r="K6" s="3" t="s">
        <v>48</v>
      </c>
    </row>
    <row r="7" customFormat="false" ht="23.85" hidden="false" customHeight="false" outlineLevel="0" collapsed="false">
      <c r="A7" s="4" t="s">
        <v>11</v>
      </c>
      <c r="B7" s="4" t="s">
        <v>12</v>
      </c>
      <c r="C7" s="4" t="s">
        <v>49</v>
      </c>
      <c r="D7" s="4" t="s">
        <v>50</v>
      </c>
      <c r="E7" s="4" t="s">
        <v>51</v>
      </c>
      <c r="F7" s="4" t="s">
        <v>52</v>
      </c>
      <c r="G7" s="4" t="s">
        <v>53</v>
      </c>
      <c r="H7" s="4" t="s">
        <v>54</v>
      </c>
      <c r="I7" s="4" t="s">
        <v>52</v>
      </c>
      <c r="J7" s="4" t="n">
        <v>2025</v>
      </c>
      <c r="K7" s="5" t="s">
        <v>55</v>
      </c>
    </row>
    <row r="8" customFormat="false" ht="23.85" hidden="false" customHeight="false" outlineLevel="0" collapsed="false">
      <c r="A8" s="2" t="s">
        <v>11</v>
      </c>
      <c r="B8" s="2" t="s">
        <v>12</v>
      </c>
      <c r="C8" s="2" t="s">
        <v>56</v>
      </c>
      <c r="D8" s="2" t="s">
        <v>57</v>
      </c>
      <c r="E8" s="2" t="s">
        <v>58</v>
      </c>
      <c r="F8" s="2" t="s">
        <v>24</v>
      </c>
      <c r="G8" s="2" t="s">
        <v>59</v>
      </c>
      <c r="H8" s="2" t="s">
        <v>60</v>
      </c>
      <c r="I8" s="2" t="s">
        <v>61</v>
      </c>
      <c r="J8" s="2" t="n">
        <v>2025</v>
      </c>
      <c r="K8" s="3" t="s">
        <v>62</v>
      </c>
    </row>
    <row r="9" customFormat="false" ht="23.85" hidden="false" customHeight="false" outlineLevel="0" collapsed="false">
      <c r="A9" s="4" t="s">
        <v>11</v>
      </c>
      <c r="B9" s="4" t="s">
        <v>63</v>
      </c>
      <c r="C9" s="4" t="s">
        <v>64</v>
      </c>
      <c r="D9" s="4" t="s">
        <v>65</v>
      </c>
      <c r="E9" s="4" t="s">
        <v>66</v>
      </c>
      <c r="F9" s="4" t="s">
        <v>67</v>
      </c>
      <c r="G9" s="4" t="s">
        <v>68</v>
      </c>
      <c r="H9" s="4" t="s">
        <v>69</v>
      </c>
      <c r="I9" s="4" t="s">
        <v>19</v>
      </c>
      <c r="J9" s="4" t="n">
        <v>2026</v>
      </c>
      <c r="K9" s="5" t="s">
        <v>70</v>
      </c>
    </row>
    <row r="10" customFormat="false" ht="23.85" hidden="false" customHeight="false" outlineLevel="0" collapsed="false">
      <c r="A10" s="2" t="s">
        <v>11</v>
      </c>
      <c r="B10" s="2" t="s">
        <v>63</v>
      </c>
      <c r="C10" s="2" t="s">
        <v>71</v>
      </c>
      <c r="D10" s="2" t="s">
        <v>72</v>
      </c>
      <c r="E10" s="2" t="s">
        <v>73</v>
      </c>
      <c r="F10" s="2" t="s">
        <v>67</v>
      </c>
      <c r="G10" s="2" t="s">
        <v>74</v>
      </c>
      <c r="H10" s="2" t="s">
        <v>75</v>
      </c>
      <c r="I10" s="2" t="s">
        <v>19</v>
      </c>
      <c r="J10" s="2" t="n">
        <v>2025</v>
      </c>
      <c r="K10" s="3" t="s">
        <v>76</v>
      </c>
    </row>
    <row r="11" customFormat="false" ht="35.05" hidden="false" customHeight="false" outlineLevel="0" collapsed="false">
      <c r="A11" s="4" t="s">
        <v>11</v>
      </c>
      <c r="B11" s="4" t="s">
        <v>63</v>
      </c>
      <c r="C11" s="4" t="s">
        <v>77</v>
      </c>
      <c r="D11" s="4" t="s">
        <v>78</v>
      </c>
      <c r="E11" s="4" t="s">
        <v>79</v>
      </c>
      <c r="F11" s="4" t="s">
        <v>24</v>
      </c>
      <c r="G11" s="4" t="s">
        <v>80</v>
      </c>
      <c r="H11" s="4" t="s">
        <v>81</v>
      </c>
      <c r="I11" s="4" t="s">
        <v>19</v>
      </c>
      <c r="J11" s="4" t="n">
        <v>2025</v>
      </c>
      <c r="K11" s="5" t="s">
        <v>82</v>
      </c>
    </row>
    <row r="12" customFormat="false" ht="23.85" hidden="false" customHeight="false" outlineLevel="0" collapsed="false">
      <c r="A12" s="2" t="s">
        <v>11</v>
      </c>
      <c r="B12" s="2" t="s">
        <v>83</v>
      </c>
      <c r="C12" s="2" t="s">
        <v>84</v>
      </c>
      <c r="D12" s="2" t="s">
        <v>85</v>
      </c>
      <c r="E12" s="2" t="s">
        <v>86</v>
      </c>
      <c r="F12" s="2" t="s">
        <v>67</v>
      </c>
      <c r="G12" s="2" t="s">
        <v>87</v>
      </c>
      <c r="H12" s="2" t="s">
        <v>88</v>
      </c>
      <c r="I12" s="2" t="s">
        <v>89</v>
      </c>
      <c r="J12" s="2" t="n">
        <v>2025</v>
      </c>
      <c r="K12" s="3" t="s">
        <v>90</v>
      </c>
    </row>
    <row r="13" customFormat="false" ht="35.05" hidden="false" customHeight="false" outlineLevel="0" collapsed="false">
      <c r="A13" s="4" t="s">
        <v>11</v>
      </c>
      <c r="B13" s="4" t="s">
        <v>91</v>
      </c>
      <c r="C13" s="4" t="s">
        <v>92</v>
      </c>
      <c r="D13" s="4" t="s">
        <v>93</v>
      </c>
      <c r="E13" s="4" t="s">
        <v>94</v>
      </c>
      <c r="F13" s="4" t="s">
        <v>95</v>
      </c>
      <c r="G13" s="4" t="s">
        <v>96</v>
      </c>
      <c r="H13" s="4" t="s">
        <v>97</v>
      </c>
      <c r="I13" s="4" t="s">
        <v>98</v>
      </c>
      <c r="J13" s="4" t="n">
        <v>2025</v>
      </c>
      <c r="K13" s="5" t="s">
        <v>99</v>
      </c>
    </row>
    <row r="14" customFormat="false" ht="35.05" hidden="false" customHeight="false" outlineLevel="0" collapsed="false">
      <c r="A14" s="2" t="s">
        <v>11</v>
      </c>
      <c r="B14" s="2" t="s">
        <v>91</v>
      </c>
      <c r="C14" s="2" t="s">
        <v>100</v>
      </c>
      <c r="D14" s="2" t="s">
        <v>101</v>
      </c>
      <c r="E14" s="2" t="s">
        <v>102</v>
      </c>
      <c r="F14" s="2" t="s">
        <v>16</v>
      </c>
      <c r="G14" s="2" t="s">
        <v>103</v>
      </c>
      <c r="H14" s="2" t="s">
        <v>104</v>
      </c>
      <c r="I14" s="2" t="s">
        <v>105</v>
      </c>
      <c r="J14" s="2" t="n">
        <v>2026</v>
      </c>
      <c r="K14" s="3" t="s">
        <v>27</v>
      </c>
    </row>
    <row r="15" customFormat="false" ht="35.05" hidden="false" customHeight="false" outlineLevel="0" collapsed="false">
      <c r="A15" s="4" t="s">
        <v>11</v>
      </c>
      <c r="B15" s="4" t="s">
        <v>91</v>
      </c>
      <c r="C15" s="4" t="s">
        <v>106</v>
      </c>
      <c r="D15" s="4" t="s">
        <v>107</v>
      </c>
      <c r="E15" s="4" t="s">
        <v>108</v>
      </c>
      <c r="F15" s="4" t="s">
        <v>109</v>
      </c>
      <c r="G15" s="4" t="s">
        <v>110</v>
      </c>
      <c r="H15" s="4" t="s">
        <v>111</v>
      </c>
      <c r="I15" s="4" t="s">
        <v>19</v>
      </c>
      <c r="J15" s="4" t="n">
        <v>2025</v>
      </c>
      <c r="K15" s="5" t="s">
        <v>112</v>
      </c>
    </row>
    <row r="16" customFormat="false" ht="23.85" hidden="false" customHeight="false" outlineLevel="0" collapsed="false">
      <c r="A16" s="2" t="s">
        <v>11</v>
      </c>
      <c r="B16" s="2" t="s">
        <v>113</v>
      </c>
      <c r="C16" s="2" t="s">
        <v>114</v>
      </c>
      <c r="D16" s="2" t="s">
        <v>115</v>
      </c>
      <c r="E16" s="2" t="s">
        <v>116</v>
      </c>
      <c r="F16" s="2" t="s">
        <v>117</v>
      </c>
      <c r="G16" s="2" t="s">
        <v>118</v>
      </c>
      <c r="H16" s="2" t="s">
        <v>119</v>
      </c>
      <c r="I16" s="2" t="s">
        <v>19</v>
      </c>
      <c r="J16" s="2" t="n">
        <v>2025</v>
      </c>
      <c r="K16" s="3" t="s">
        <v>120</v>
      </c>
    </row>
    <row r="17" customFormat="false" ht="23.85" hidden="false" customHeight="false" outlineLevel="0" collapsed="false">
      <c r="A17" s="4" t="s">
        <v>11</v>
      </c>
      <c r="B17" s="4" t="s">
        <v>121</v>
      </c>
      <c r="C17" s="4" t="s">
        <v>122</v>
      </c>
      <c r="D17" s="4" t="s">
        <v>123</v>
      </c>
      <c r="E17" s="4" t="s">
        <v>124</v>
      </c>
      <c r="F17" s="4" t="s">
        <v>52</v>
      </c>
      <c r="G17" s="4" t="s">
        <v>125</v>
      </c>
      <c r="H17" s="4" t="s">
        <v>126</v>
      </c>
      <c r="I17" s="4" t="s">
        <v>127</v>
      </c>
      <c r="J17" s="4" t="n">
        <v>2025</v>
      </c>
      <c r="K17" s="5" t="s">
        <v>128</v>
      </c>
    </row>
    <row r="18" customFormat="false" ht="35.05" hidden="false" customHeight="false" outlineLevel="0" collapsed="false">
      <c r="A18" s="2" t="s">
        <v>11</v>
      </c>
      <c r="B18" s="2" t="s">
        <v>121</v>
      </c>
      <c r="C18" s="2" t="s">
        <v>129</v>
      </c>
      <c r="D18" s="2" t="s">
        <v>130</v>
      </c>
      <c r="E18" s="2" t="s">
        <v>131</v>
      </c>
      <c r="F18" s="2" t="s">
        <v>132</v>
      </c>
      <c r="G18" s="2" t="s">
        <v>133</v>
      </c>
      <c r="H18" s="2" t="s">
        <v>134</v>
      </c>
      <c r="I18" s="2" t="s">
        <v>132</v>
      </c>
      <c r="J18" s="2" t="n">
        <v>2025</v>
      </c>
      <c r="K18" s="3" t="s">
        <v>135</v>
      </c>
    </row>
    <row r="19" customFormat="false" ht="23.85" hidden="false" customHeight="false" outlineLevel="0" collapsed="false">
      <c r="A19" s="4" t="s">
        <v>11</v>
      </c>
      <c r="B19" s="4" t="s">
        <v>121</v>
      </c>
      <c r="C19" s="4" t="s">
        <v>136</v>
      </c>
      <c r="D19" s="4" t="s">
        <v>137</v>
      </c>
      <c r="E19" s="4" t="s">
        <v>138</v>
      </c>
      <c r="F19" s="4" t="s">
        <v>52</v>
      </c>
      <c r="G19" s="4" t="s">
        <v>139</v>
      </c>
      <c r="H19" s="4" t="s">
        <v>140</v>
      </c>
      <c r="I19" s="4" t="s">
        <v>52</v>
      </c>
      <c r="J19" s="4" t="n">
        <v>2025</v>
      </c>
      <c r="K19" s="5" t="s">
        <v>141</v>
      </c>
    </row>
    <row r="20" customFormat="false" ht="35.05" hidden="false" customHeight="false" outlineLevel="0" collapsed="false">
      <c r="A20" s="2" t="s">
        <v>11</v>
      </c>
      <c r="B20" s="2" t="s">
        <v>121</v>
      </c>
      <c r="C20" s="2" t="s">
        <v>142</v>
      </c>
      <c r="D20" s="2" t="s">
        <v>143</v>
      </c>
      <c r="E20" s="2" t="s">
        <v>144</v>
      </c>
      <c r="F20" s="2" t="s">
        <v>132</v>
      </c>
      <c r="G20" s="2" t="s">
        <v>145</v>
      </c>
      <c r="H20" s="2" t="s">
        <v>146</v>
      </c>
      <c r="I20" s="2" t="s">
        <v>132</v>
      </c>
      <c r="J20" s="2" t="n">
        <v>2025</v>
      </c>
      <c r="K20" s="3" t="s">
        <v>135</v>
      </c>
    </row>
    <row r="21" customFormat="false" ht="35.05" hidden="false" customHeight="false" outlineLevel="0" collapsed="false">
      <c r="A21" s="4" t="s">
        <v>147</v>
      </c>
      <c r="B21" s="4" t="s">
        <v>148</v>
      </c>
      <c r="C21" s="4" t="s">
        <v>149</v>
      </c>
      <c r="D21" s="4" t="s">
        <v>101</v>
      </c>
      <c r="E21" s="4" t="s">
        <v>150</v>
      </c>
      <c r="F21" s="4" t="s">
        <v>16</v>
      </c>
      <c r="G21" s="4" t="s">
        <v>151</v>
      </c>
      <c r="H21" s="4" t="s">
        <v>152</v>
      </c>
      <c r="I21" s="4" t="s">
        <v>19</v>
      </c>
      <c r="J21" s="4" t="n">
        <v>2025</v>
      </c>
      <c r="K21" s="5" t="s">
        <v>153</v>
      </c>
    </row>
    <row r="22" customFormat="false" ht="35.05" hidden="false" customHeight="false" outlineLevel="0" collapsed="false">
      <c r="A22" s="2" t="s">
        <v>147</v>
      </c>
      <c r="B22" s="2" t="s">
        <v>148</v>
      </c>
      <c r="C22" s="2" t="s">
        <v>154</v>
      </c>
      <c r="D22" s="2" t="s">
        <v>101</v>
      </c>
      <c r="E22" s="2" t="s">
        <v>155</v>
      </c>
      <c r="F22" s="2" t="s">
        <v>16</v>
      </c>
      <c r="G22" s="2" t="s">
        <v>156</v>
      </c>
      <c r="H22" s="2" t="s">
        <v>157</v>
      </c>
      <c r="I22" s="2" t="s">
        <v>158</v>
      </c>
      <c r="J22" s="2" t="n">
        <v>2026</v>
      </c>
      <c r="K22" s="3" t="s">
        <v>153</v>
      </c>
    </row>
    <row r="23" customFormat="false" ht="23.85" hidden="false" customHeight="false" outlineLevel="0" collapsed="false">
      <c r="A23" s="4" t="s">
        <v>147</v>
      </c>
      <c r="B23" s="4" t="s">
        <v>148</v>
      </c>
      <c r="C23" s="4" t="s">
        <v>159</v>
      </c>
      <c r="D23" s="4" t="s">
        <v>160</v>
      </c>
      <c r="E23" s="4" t="s">
        <v>161</v>
      </c>
      <c r="F23" s="4" t="s">
        <v>16</v>
      </c>
      <c r="G23" s="4" t="s">
        <v>162</v>
      </c>
      <c r="H23" s="4" t="s">
        <v>163</v>
      </c>
      <c r="I23" s="4" t="s">
        <v>158</v>
      </c>
      <c r="J23" s="4" t="n">
        <v>2026</v>
      </c>
      <c r="K23" s="5" t="s">
        <v>90</v>
      </c>
    </row>
    <row r="24" customFormat="false" ht="23.85" hidden="false" customHeight="false" outlineLevel="0" collapsed="false">
      <c r="A24" s="2" t="s">
        <v>147</v>
      </c>
      <c r="B24" s="2" t="s">
        <v>148</v>
      </c>
      <c r="C24" s="2" t="s">
        <v>164</v>
      </c>
      <c r="D24" s="2" t="s">
        <v>101</v>
      </c>
      <c r="E24" s="2" t="s">
        <v>165</v>
      </c>
      <c r="F24" s="2" t="s">
        <v>16</v>
      </c>
      <c r="G24" s="2" t="s">
        <v>166</v>
      </c>
      <c r="H24" s="2" t="s">
        <v>167</v>
      </c>
      <c r="I24" s="2" t="s">
        <v>61</v>
      </c>
      <c r="J24" s="2" t="n">
        <v>2025</v>
      </c>
      <c r="K24" s="3" t="s">
        <v>90</v>
      </c>
    </row>
    <row r="25" customFormat="false" ht="23.85" hidden="false" customHeight="false" outlineLevel="0" collapsed="false">
      <c r="A25" s="4" t="s">
        <v>147</v>
      </c>
      <c r="B25" s="4" t="s">
        <v>168</v>
      </c>
      <c r="C25" s="4" t="s">
        <v>169</v>
      </c>
      <c r="D25" s="4" t="s">
        <v>170</v>
      </c>
      <c r="E25" s="4" t="s">
        <v>171</v>
      </c>
      <c r="F25" s="4" t="s">
        <v>172</v>
      </c>
      <c r="G25" s="4" t="s">
        <v>173</v>
      </c>
      <c r="H25" s="4" t="s">
        <v>174</v>
      </c>
      <c r="I25" s="4" t="s">
        <v>19</v>
      </c>
      <c r="J25" s="4" t="n">
        <v>2025</v>
      </c>
      <c r="K25" s="5" t="s">
        <v>175</v>
      </c>
    </row>
    <row r="26" customFormat="false" ht="23.85" hidden="false" customHeight="false" outlineLevel="0" collapsed="false">
      <c r="A26" s="2" t="s">
        <v>147</v>
      </c>
      <c r="B26" s="2" t="s">
        <v>168</v>
      </c>
      <c r="C26" s="2" t="s">
        <v>176</v>
      </c>
      <c r="D26" s="2" t="s">
        <v>160</v>
      </c>
      <c r="E26" s="2" t="s">
        <v>177</v>
      </c>
      <c r="F26" s="2" t="s">
        <v>16</v>
      </c>
      <c r="G26" s="2" t="s">
        <v>178</v>
      </c>
      <c r="H26" s="2" t="s">
        <v>179</v>
      </c>
      <c r="I26" s="2" t="s">
        <v>158</v>
      </c>
      <c r="J26" s="2" t="n">
        <v>2026</v>
      </c>
      <c r="K26" s="3" t="s">
        <v>90</v>
      </c>
    </row>
    <row r="27" customFormat="false" ht="23.85" hidden="false" customHeight="false" outlineLevel="0" collapsed="false">
      <c r="A27" s="4" t="s">
        <v>147</v>
      </c>
      <c r="B27" s="4" t="s">
        <v>168</v>
      </c>
      <c r="C27" s="4" t="s">
        <v>180</v>
      </c>
      <c r="D27" s="4" t="s">
        <v>101</v>
      </c>
      <c r="E27" s="4" t="s">
        <v>177</v>
      </c>
      <c r="F27" s="4" t="s">
        <v>16</v>
      </c>
      <c r="G27" s="4" t="s">
        <v>178</v>
      </c>
      <c r="H27" s="4" t="s">
        <v>181</v>
      </c>
      <c r="I27" s="4" t="s">
        <v>19</v>
      </c>
      <c r="J27" s="4" t="n">
        <v>2025</v>
      </c>
      <c r="K27" s="5" t="s">
        <v>90</v>
      </c>
    </row>
    <row r="28" customFormat="false" ht="23.85" hidden="false" customHeight="false" outlineLevel="0" collapsed="false">
      <c r="A28" s="2" t="s">
        <v>147</v>
      </c>
      <c r="B28" s="2" t="s">
        <v>168</v>
      </c>
      <c r="C28" s="2" t="s">
        <v>182</v>
      </c>
      <c r="D28" s="2" t="s">
        <v>183</v>
      </c>
      <c r="E28" s="2" t="s">
        <v>184</v>
      </c>
      <c r="F28" s="2" t="s">
        <v>185</v>
      </c>
      <c r="G28" s="2" t="s">
        <v>186</v>
      </c>
      <c r="H28" s="2" t="s">
        <v>187</v>
      </c>
      <c r="I28" s="2" t="s">
        <v>19</v>
      </c>
      <c r="J28" s="2" t="n">
        <v>2025</v>
      </c>
      <c r="K28" s="3" t="s">
        <v>188</v>
      </c>
    </row>
    <row r="29" customFormat="false" ht="23.85" hidden="false" customHeight="false" outlineLevel="0" collapsed="false">
      <c r="A29" s="4" t="s">
        <v>147</v>
      </c>
      <c r="B29" s="4" t="s">
        <v>168</v>
      </c>
      <c r="C29" s="4" t="s">
        <v>189</v>
      </c>
      <c r="D29" s="4" t="s">
        <v>137</v>
      </c>
      <c r="E29" s="4" t="s">
        <v>190</v>
      </c>
      <c r="F29" s="4" t="s">
        <v>67</v>
      </c>
      <c r="G29" s="4" t="s">
        <v>191</v>
      </c>
      <c r="H29" s="4" t="s">
        <v>192</v>
      </c>
      <c r="I29" s="4" t="s">
        <v>52</v>
      </c>
      <c r="J29" s="4" t="n">
        <v>2025</v>
      </c>
      <c r="K29" s="5" t="s">
        <v>193</v>
      </c>
    </row>
    <row r="30" customFormat="false" ht="35.05" hidden="false" customHeight="false" outlineLevel="0" collapsed="false">
      <c r="A30" s="2" t="s">
        <v>147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  <c r="H30" s="2" t="s">
        <v>200</v>
      </c>
      <c r="I30" s="2" t="s">
        <v>201</v>
      </c>
      <c r="J30" s="2" t="n">
        <v>2025</v>
      </c>
      <c r="K30" s="3" t="s">
        <v>202</v>
      </c>
    </row>
    <row r="31" customFormat="false" ht="23.85" hidden="false" customHeight="false" outlineLevel="0" collapsed="false">
      <c r="A31" s="4" t="s">
        <v>147</v>
      </c>
      <c r="B31" s="4" t="s">
        <v>194</v>
      </c>
      <c r="C31" s="4" t="s">
        <v>203</v>
      </c>
      <c r="D31" s="4" t="s">
        <v>50</v>
      </c>
      <c r="E31" s="4" t="s">
        <v>204</v>
      </c>
      <c r="F31" s="4" t="s">
        <v>52</v>
      </c>
      <c r="G31" s="4" t="s">
        <v>205</v>
      </c>
      <c r="H31" s="4" t="s">
        <v>206</v>
      </c>
      <c r="I31" s="4" t="s">
        <v>201</v>
      </c>
      <c r="J31" s="4" t="n">
        <v>2025</v>
      </c>
      <c r="K31" s="5" t="s">
        <v>207</v>
      </c>
    </row>
    <row r="32" customFormat="false" ht="23.85" hidden="false" customHeight="false" outlineLevel="0" collapsed="false">
      <c r="A32" s="2" t="s">
        <v>147</v>
      </c>
      <c r="B32" s="2" t="s">
        <v>91</v>
      </c>
      <c r="C32" s="2" t="s">
        <v>208</v>
      </c>
      <c r="D32" s="2" t="s">
        <v>209</v>
      </c>
      <c r="E32" s="2" t="s">
        <v>210</v>
      </c>
      <c r="F32" s="2" t="s">
        <v>211</v>
      </c>
      <c r="G32" s="2" t="s">
        <v>212</v>
      </c>
      <c r="H32" s="2" t="s">
        <v>213</v>
      </c>
      <c r="I32" s="2" t="s">
        <v>19</v>
      </c>
      <c r="J32" s="2" t="n">
        <v>2025</v>
      </c>
      <c r="K32" s="3" t="s">
        <v>214</v>
      </c>
    </row>
    <row r="33" customFormat="false" ht="23.85" hidden="false" customHeight="false" outlineLevel="0" collapsed="false">
      <c r="A33" s="4" t="s">
        <v>147</v>
      </c>
      <c r="B33" s="4" t="s">
        <v>91</v>
      </c>
      <c r="C33" s="4" t="s">
        <v>215</v>
      </c>
      <c r="D33" s="4" t="s">
        <v>216</v>
      </c>
      <c r="E33" s="4" t="s">
        <v>217</v>
      </c>
      <c r="F33" s="4" t="s">
        <v>52</v>
      </c>
      <c r="G33" s="4" t="s">
        <v>218</v>
      </c>
      <c r="H33" s="4" t="s">
        <v>219</v>
      </c>
      <c r="I33" s="4" t="s">
        <v>52</v>
      </c>
      <c r="J33" s="4" t="n">
        <v>2025</v>
      </c>
      <c r="K33" s="5" t="s">
        <v>220</v>
      </c>
    </row>
    <row r="34" customFormat="false" ht="23.85" hidden="false" customHeight="false" outlineLevel="0" collapsed="false">
      <c r="A34" s="2" t="s">
        <v>221</v>
      </c>
      <c r="B34" s="2" t="s">
        <v>222</v>
      </c>
      <c r="C34" s="2" t="s">
        <v>223</v>
      </c>
      <c r="D34" s="2" t="s">
        <v>196</v>
      </c>
      <c r="E34" s="2" t="s">
        <v>224</v>
      </c>
      <c r="F34" s="2" t="s">
        <v>52</v>
      </c>
      <c r="G34" s="2" t="s">
        <v>225</v>
      </c>
      <c r="H34" s="2" t="s">
        <v>226</v>
      </c>
      <c r="I34" s="2" t="s">
        <v>52</v>
      </c>
      <c r="J34" s="2" t="n">
        <v>2025</v>
      </c>
      <c r="K34" s="3" t="s">
        <v>227</v>
      </c>
    </row>
    <row r="35" customFormat="false" ht="23.85" hidden="false" customHeight="false" outlineLevel="0" collapsed="false">
      <c r="A35" s="4" t="s">
        <v>221</v>
      </c>
      <c r="B35" s="4" t="s">
        <v>222</v>
      </c>
      <c r="C35" s="4" t="s">
        <v>228</v>
      </c>
      <c r="D35" s="4" t="s">
        <v>229</v>
      </c>
      <c r="E35" s="4" t="s">
        <v>230</v>
      </c>
      <c r="F35" s="4" t="s">
        <v>16</v>
      </c>
      <c r="G35" s="4" t="s">
        <v>231</v>
      </c>
      <c r="H35" s="4" t="s">
        <v>232</v>
      </c>
      <c r="I35" s="4" t="s">
        <v>19</v>
      </c>
      <c r="J35" s="4" t="n">
        <v>2025</v>
      </c>
      <c r="K35" s="5" t="s">
        <v>188</v>
      </c>
    </row>
    <row r="36" customFormat="false" ht="23.85" hidden="false" customHeight="false" outlineLevel="0" collapsed="false">
      <c r="A36" s="2" t="s">
        <v>233</v>
      </c>
      <c r="B36" s="2" t="s">
        <v>234</v>
      </c>
      <c r="C36" s="2" t="s">
        <v>235</v>
      </c>
      <c r="D36" s="2" t="s">
        <v>236</v>
      </c>
      <c r="E36" s="2" t="s">
        <v>237</v>
      </c>
      <c r="F36" s="2" t="s">
        <v>201</v>
      </c>
      <c r="G36" s="2" t="s">
        <v>238</v>
      </c>
      <c r="H36" s="2" t="s">
        <v>239</v>
      </c>
      <c r="I36" s="2" t="s">
        <v>201</v>
      </c>
      <c r="J36" s="2" t="n">
        <v>2025</v>
      </c>
      <c r="K36" s="3" t="s">
        <v>240</v>
      </c>
    </row>
    <row r="37" customFormat="false" ht="35.05" hidden="false" customHeight="false" outlineLevel="0" collapsed="false">
      <c r="A37" s="4" t="s">
        <v>233</v>
      </c>
      <c r="B37" s="4" t="s">
        <v>241</v>
      </c>
      <c r="C37" s="4" t="s">
        <v>242</v>
      </c>
      <c r="D37" s="4" t="s">
        <v>243</v>
      </c>
      <c r="E37" s="4" t="s">
        <v>244</v>
      </c>
      <c r="F37" s="4" t="s">
        <v>52</v>
      </c>
      <c r="G37" s="4" t="s">
        <v>245</v>
      </c>
      <c r="H37" s="4" t="s">
        <v>246</v>
      </c>
      <c r="I37" s="4" t="s">
        <v>19</v>
      </c>
      <c r="J37" s="4" t="n">
        <v>2025</v>
      </c>
      <c r="K37" s="5" t="s">
        <v>247</v>
      </c>
    </row>
    <row r="38" customFormat="false" ht="23.85" hidden="false" customHeight="false" outlineLevel="0" collapsed="false">
      <c r="A38" s="2" t="s">
        <v>233</v>
      </c>
      <c r="B38" s="2" t="s">
        <v>248</v>
      </c>
      <c r="C38" s="2" t="s">
        <v>249</v>
      </c>
      <c r="D38" s="2" t="s">
        <v>250</v>
      </c>
      <c r="E38" s="2" t="s">
        <v>251</v>
      </c>
      <c r="F38" s="2" t="s">
        <v>201</v>
      </c>
      <c r="G38" s="2" t="s">
        <v>252</v>
      </c>
      <c r="H38" s="2" t="s">
        <v>253</v>
      </c>
      <c r="I38" s="2" t="s">
        <v>201</v>
      </c>
      <c r="J38" s="2" t="n">
        <v>2025</v>
      </c>
      <c r="K38" s="3" t="s">
        <v>254</v>
      </c>
    </row>
    <row r="39" customFormat="false" ht="23.85" hidden="false" customHeight="false" outlineLevel="0" collapsed="false">
      <c r="A39" s="4" t="s">
        <v>233</v>
      </c>
      <c r="B39" s="4" t="s">
        <v>255</v>
      </c>
      <c r="C39" s="4" t="s">
        <v>256</v>
      </c>
      <c r="D39" s="4" t="s">
        <v>229</v>
      </c>
      <c r="E39" s="4" t="s">
        <v>257</v>
      </c>
      <c r="F39" s="4" t="s">
        <v>201</v>
      </c>
      <c r="G39" s="4" t="s">
        <v>258</v>
      </c>
      <c r="H39" s="4" t="s">
        <v>259</v>
      </c>
      <c r="I39" s="4" t="s">
        <v>201</v>
      </c>
      <c r="J39" s="4" t="n">
        <v>2025</v>
      </c>
      <c r="K39" s="5" t="s">
        <v>260</v>
      </c>
    </row>
    <row r="40" customFormat="false" ht="23.85" hidden="false" customHeight="false" outlineLevel="0" collapsed="false">
      <c r="A40" s="2" t="s">
        <v>233</v>
      </c>
      <c r="B40" s="2" t="s">
        <v>261</v>
      </c>
      <c r="C40" s="2" t="s">
        <v>262</v>
      </c>
      <c r="D40" s="2" t="s">
        <v>229</v>
      </c>
      <c r="E40" s="2" t="s">
        <v>263</v>
      </c>
      <c r="F40" s="2" t="s">
        <v>201</v>
      </c>
      <c r="G40" s="2" t="s">
        <v>264</v>
      </c>
      <c r="H40" s="2" t="s">
        <v>265</v>
      </c>
      <c r="I40" s="2" t="s">
        <v>201</v>
      </c>
      <c r="J40" s="2" t="n">
        <v>2025</v>
      </c>
      <c r="K40" s="3" t="s">
        <v>266</v>
      </c>
    </row>
    <row r="41" customFormat="false" ht="35.05" hidden="false" customHeight="false" outlineLevel="0" collapsed="false">
      <c r="A41" s="4" t="s">
        <v>267</v>
      </c>
      <c r="B41" s="4" t="s">
        <v>268</v>
      </c>
      <c r="C41" s="4" t="s">
        <v>269</v>
      </c>
      <c r="D41" s="4" t="s">
        <v>50</v>
      </c>
      <c r="E41" s="4" t="s">
        <v>270</v>
      </c>
      <c r="F41" s="4" t="s">
        <v>52</v>
      </c>
      <c r="G41" s="4" t="s">
        <v>271</v>
      </c>
      <c r="H41" s="4" t="s">
        <v>272</v>
      </c>
      <c r="I41" s="4" t="s">
        <v>19</v>
      </c>
      <c r="J41" s="4" t="n">
        <v>2025</v>
      </c>
      <c r="K41" s="5" t="s">
        <v>273</v>
      </c>
    </row>
    <row r="42" customFormat="false" ht="23.85" hidden="false" customHeight="false" outlineLevel="0" collapsed="false">
      <c r="A42" s="2" t="s">
        <v>267</v>
      </c>
      <c r="B42" s="2" t="s">
        <v>274</v>
      </c>
      <c r="C42" s="2" t="s">
        <v>275</v>
      </c>
      <c r="D42" s="2" t="s">
        <v>50</v>
      </c>
      <c r="E42" s="2" t="s">
        <v>276</v>
      </c>
      <c r="F42" s="2" t="s">
        <v>52</v>
      </c>
      <c r="G42" s="2" t="s">
        <v>277</v>
      </c>
      <c r="H42" s="2" t="s">
        <v>278</v>
      </c>
      <c r="I42" s="2" t="s">
        <v>19</v>
      </c>
      <c r="J42" s="2" t="n">
        <v>2025</v>
      </c>
      <c r="K42" s="3" t="s">
        <v>279</v>
      </c>
    </row>
    <row r="43" customFormat="false" ht="23.85" hidden="false" customHeight="false" outlineLevel="0" collapsed="false">
      <c r="A43" s="4" t="s">
        <v>267</v>
      </c>
      <c r="B43" s="4" t="s">
        <v>280</v>
      </c>
      <c r="C43" s="4" t="s">
        <v>281</v>
      </c>
      <c r="D43" s="4" t="s">
        <v>229</v>
      </c>
      <c r="E43" s="4" t="s">
        <v>282</v>
      </c>
      <c r="F43" s="4" t="s">
        <v>52</v>
      </c>
      <c r="G43" s="4" t="s">
        <v>283</v>
      </c>
      <c r="H43" s="4" t="s">
        <v>284</v>
      </c>
      <c r="I43" s="4" t="s">
        <v>52</v>
      </c>
      <c r="J43" s="4" t="n">
        <v>2025</v>
      </c>
      <c r="K43" s="5" t="s">
        <v>285</v>
      </c>
    </row>
    <row r="44" customFormat="false" ht="23.85" hidden="false" customHeight="false" outlineLevel="0" collapsed="false">
      <c r="A44" s="2" t="s">
        <v>267</v>
      </c>
      <c r="B44" s="2" t="s">
        <v>286</v>
      </c>
      <c r="C44" s="2" t="s">
        <v>287</v>
      </c>
      <c r="D44" s="2" t="s">
        <v>288</v>
      </c>
      <c r="E44" s="2" t="s">
        <v>289</v>
      </c>
      <c r="F44" s="2" t="s">
        <v>132</v>
      </c>
      <c r="G44" s="2" t="s">
        <v>290</v>
      </c>
      <c r="H44" s="2" t="s">
        <v>291</v>
      </c>
      <c r="I44" s="2" t="s">
        <v>132</v>
      </c>
      <c r="J44" s="2" t="n">
        <v>2025</v>
      </c>
      <c r="K44" s="3" t="s">
        <v>279</v>
      </c>
    </row>
    <row r="45" customFormat="false" ht="35.05" hidden="false" customHeight="false" outlineLevel="0" collapsed="false">
      <c r="A45" s="4" t="s">
        <v>292</v>
      </c>
      <c r="B45" s="4" t="s">
        <v>293</v>
      </c>
      <c r="C45" s="4" t="s">
        <v>294</v>
      </c>
      <c r="D45" s="4" t="s">
        <v>295</v>
      </c>
      <c r="E45" s="4" t="s">
        <v>296</v>
      </c>
      <c r="F45" s="4" t="s">
        <v>109</v>
      </c>
      <c r="G45" s="4" t="s">
        <v>297</v>
      </c>
      <c r="H45" s="4" t="s">
        <v>298</v>
      </c>
      <c r="I45" s="4" t="s">
        <v>299</v>
      </c>
      <c r="J45" s="4" t="n">
        <v>2026</v>
      </c>
      <c r="K45" s="5" t="s">
        <v>300</v>
      </c>
    </row>
    <row r="46" customFormat="false" ht="35.05" hidden="false" customHeight="false" outlineLevel="0" collapsed="false">
      <c r="A46" s="2" t="s">
        <v>292</v>
      </c>
      <c r="B46" s="2" t="s">
        <v>301</v>
      </c>
      <c r="C46" s="2" t="s">
        <v>302</v>
      </c>
      <c r="D46" s="2" t="s">
        <v>303</v>
      </c>
      <c r="E46" s="2" t="s">
        <v>304</v>
      </c>
      <c r="F46" s="2" t="s">
        <v>16</v>
      </c>
      <c r="G46" s="2" t="s">
        <v>305</v>
      </c>
      <c r="H46" s="2" t="s">
        <v>306</v>
      </c>
      <c r="I46" s="2" t="s">
        <v>19</v>
      </c>
      <c r="J46" s="2" t="n">
        <v>2025</v>
      </c>
      <c r="K46" s="3" t="s">
        <v>307</v>
      </c>
    </row>
    <row r="47" customFormat="false" ht="23.85" hidden="false" customHeight="false" outlineLevel="0" collapsed="false">
      <c r="A47" s="4" t="s">
        <v>292</v>
      </c>
      <c r="B47" s="4" t="s">
        <v>308</v>
      </c>
      <c r="C47" s="4" t="s">
        <v>309</v>
      </c>
      <c r="D47" s="4" t="s">
        <v>229</v>
      </c>
      <c r="E47" s="4" t="s">
        <v>310</v>
      </c>
      <c r="F47" s="4" t="s">
        <v>52</v>
      </c>
      <c r="G47" s="4" t="s">
        <v>311</v>
      </c>
      <c r="H47" s="4" t="s">
        <v>312</v>
      </c>
      <c r="I47" s="4" t="s">
        <v>52</v>
      </c>
      <c r="J47" s="4" t="n">
        <v>2025</v>
      </c>
      <c r="K47" s="5" t="s">
        <v>313</v>
      </c>
    </row>
    <row r="48" customFormat="false" ht="23.85" hidden="false" customHeight="false" outlineLevel="0" collapsed="false">
      <c r="A48" s="2" t="s">
        <v>314</v>
      </c>
      <c r="B48" s="2" t="s">
        <v>315</v>
      </c>
      <c r="C48" s="2" t="s">
        <v>316</v>
      </c>
      <c r="D48" s="2" t="s">
        <v>229</v>
      </c>
      <c r="E48" s="2" t="s">
        <v>317</v>
      </c>
      <c r="F48" s="2" t="s">
        <v>109</v>
      </c>
      <c r="G48" s="2" t="s">
        <v>318</v>
      </c>
      <c r="H48" s="2" t="s">
        <v>319</v>
      </c>
      <c r="I48" s="2" t="s">
        <v>19</v>
      </c>
      <c r="J48" s="2" t="n">
        <v>2025</v>
      </c>
      <c r="K48" s="3" t="s">
        <v>320</v>
      </c>
    </row>
    <row r="49" customFormat="false" ht="23.85" hidden="false" customHeight="false" outlineLevel="0" collapsed="false">
      <c r="A49" s="4" t="s">
        <v>314</v>
      </c>
      <c r="B49" s="4" t="s">
        <v>321</v>
      </c>
      <c r="C49" s="4" t="s">
        <v>322</v>
      </c>
      <c r="D49" s="4" t="s">
        <v>323</v>
      </c>
      <c r="E49" s="4" t="s">
        <v>324</v>
      </c>
      <c r="F49" s="4" t="s">
        <v>198</v>
      </c>
      <c r="G49" s="4" t="s">
        <v>325</v>
      </c>
      <c r="H49" s="4" t="s">
        <v>326</v>
      </c>
      <c r="I49" s="4" t="s">
        <v>201</v>
      </c>
      <c r="J49" s="4" t="n">
        <v>2025</v>
      </c>
      <c r="K49" s="5" t="s">
        <v>327</v>
      </c>
    </row>
    <row r="50" customFormat="false" ht="23.85" hidden="false" customHeight="false" outlineLevel="0" collapsed="false">
      <c r="A50" s="2" t="s">
        <v>314</v>
      </c>
      <c r="B50" s="2" t="s">
        <v>328</v>
      </c>
      <c r="C50" s="2" t="s">
        <v>329</v>
      </c>
      <c r="D50" s="2" t="s">
        <v>330</v>
      </c>
      <c r="E50" s="2" t="s">
        <v>331</v>
      </c>
      <c r="F50" s="2" t="s">
        <v>52</v>
      </c>
      <c r="G50" s="2" t="s">
        <v>332</v>
      </c>
      <c r="H50" s="2" t="s">
        <v>333</v>
      </c>
      <c r="I50" s="2" t="s">
        <v>201</v>
      </c>
      <c r="J50" s="2" t="n">
        <v>2025</v>
      </c>
      <c r="K50" s="3" t="s">
        <v>334</v>
      </c>
    </row>
    <row r="51" customFormat="false" ht="23.85" hidden="false" customHeight="false" outlineLevel="0" collapsed="false">
      <c r="A51" s="4" t="s">
        <v>314</v>
      </c>
      <c r="B51" s="4" t="s">
        <v>328</v>
      </c>
      <c r="C51" s="4" t="s">
        <v>335</v>
      </c>
      <c r="D51" s="4" t="s">
        <v>336</v>
      </c>
      <c r="E51" s="4" t="s">
        <v>337</v>
      </c>
      <c r="F51" s="4" t="s">
        <v>201</v>
      </c>
      <c r="G51" s="4" t="s">
        <v>338</v>
      </c>
      <c r="H51" s="4" t="s">
        <v>339</v>
      </c>
      <c r="I51" s="4" t="s">
        <v>201</v>
      </c>
      <c r="J51" s="4" t="n">
        <v>2025</v>
      </c>
      <c r="K51" s="5" t="s">
        <v>340</v>
      </c>
    </row>
    <row r="52" customFormat="false" ht="35.05" hidden="false" customHeight="false" outlineLevel="0" collapsed="false">
      <c r="A52" s="2" t="s">
        <v>341</v>
      </c>
      <c r="B52" s="2" t="s">
        <v>342</v>
      </c>
      <c r="C52" s="2" t="s">
        <v>343</v>
      </c>
      <c r="D52" s="2" t="s">
        <v>344</v>
      </c>
      <c r="E52" s="2" t="s">
        <v>345</v>
      </c>
      <c r="F52" s="2" t="s">
        <v>299</v>
      </c>
      <c r="G52" s="2" t="s">
        <v>346</v>
      </c>
      <c r="H52" s="2" t="s">
        <v>347</v>
      </c>
      <c r="I52" s="2" t="s">
        <v>299</v>
      </c>
      <c r="J52" s="2" t="n">
        <v>2026</v>
      </c>
      <c r="K52" s="3" t="s">
        <v>112</v>
      </c>
    </row>
    <row r="53" customFormat="false" ht="23.85" hidden="false" customHeight="false" outlineLevel="0" collapsed="false">
      <c r="A53" s="4" t="s">
        <v>341</v>
      </c>
      <c r="B53" s="4" t="s">
        <v>342</v>
      </c>
      <c r="C53" s="4" t="s">
        <v>348</v>
      </c>
      <c r="D53" s="4" t="s">
        <v>349</v>
      </c>
      <c r="E53" s="4" t="s">
        <v>350</v>
      </c>
      <c r="F53" s="4" t="s">
        <v>52</v>
      </c>
      <c r="G53" s="4" t="s">
        <v>238</v>
      </c>
      <c r="H53" s="4" t="s">
        <v>351</v>
      </c>
      <c r="I53" s="4" t="s">
        <v>201</v>
      </c>
      <c r="J53" s="4" t="n">
        <v>2025</v>
      </c>
      <c r="K53" s="5" t="s">
        <v>352</v>
      </c>
    </row>
    <row r="54" customFormat="false" ht="35.05" hidden="false" customHeight="false" outlineLevel="0" collapsed="false">
      <c r="A54" s="2" t="s">
        <v>341</v>
      </c>
      <c r="B54" s="2" t="s">
        <v>342</v>
      </c>
      <c r="C54" s="2" t="s">
        <v>353</v>
      </c>
      <c r="D54" s="2" t="s">
        <v>344</v>
      </c>
      <c r="E54" s="2" t="s">
        <v>354</v>
      </c>
      <c r="F54" s="2" t="s">
        <v>299</v>
      </c>
      <c r="G54" s="2" t="s">
        <v>355</v>
      </c>
      <c r="H54" s="2" t="s">
        <v>356</v>
      </c>
      <c r="I54" s="2" t="s">
        <v>299</v>
      </c>
      <c r="J54" s="2" t="n">
        <v>2026</v>
      </c>
      <c r="K54" s="3" t="s">
        <v>112</v>
      </c>
    </row>
    <row r="55" customFormat="false" ht="23.85" hidden="false" customHeight="false" outlineLevel="0" collapsed="false">
      <c r="A55" s="4" t="s">
        <v>357</v>
      </c>
      <c r="B55" s="4" t="s">
        <v>358</v>
      </c>
      <c r="C55" s="4" t="s">
        <v>359</v>
      </c>
      <c r="D55" s="4" t="s">
        <v>360</v>
      </c>
      <c r="E55" s="4" t="s">
        <v>361</v>
      </c>
      <c r="F55" s="4" t="s">
        <v>201</v>
      </c>
      <c r="G55" s="4" t="s">
        <v>362</v>
      </c>
      <c r="H55" s="4" t="s">
        <v>363</v>
      </c>
      <c r="I55" s="4" t="s">
        <v>201</v>
      </c>
      <c r="J55" s="4" t="n">
        <v>2025</v>
      </c>
      <c r="K55" s="5" t="s">
        <v>364</v>
      </c>
    </row>
    <row r="56" customFormat="false" ht="23.85" hidden="false" customHeight="false" outlineLevel="0" collapsed="false">
      <c r="A56" s="2" t="s">
        <v>357</v>
      </c>
      <c r="B56" s="2" t="s">
        <v>365</v>
      </c>
      <c r="C56" s="2" t="s">
        <v>366</v>
      </c>
      <c r="D56" s="2" t="s">
        <v>367</v>
      </c>
      <c r="E56" s="2" t="s">
        <v>368</v>
      </c>
      <c r="F56" s="2" t="s">
        <v>201</v>
      </c>
      <c r="G56" s="2" t="s">
        <v>369</v>
      </c>
      <c r="H56" s="2" t="s">
        <v>370</v>
      </c>
      <c r="I56" s="2" t="s">
        <v>201</v>
      </c>
      <c r="J56" s="2" t="n">
        <v>2026</v>
      </c>
      <c r="K56" s="3" t="s">
        <v>371</v>
      </c>
    </row>
    <row r="57" customFormat="false" ht="23.85" hidden="false" customHeight="false" outlineLevel="0" collapsed="false">
      <c r="A57" s="4" t="s">
        <v>357</v>
      </c>
      <c r="B57" s="4" t="s">
        <v>365</v>
      </c>
      <c r="C57" s="4" t="s">
        <v>372</v>
      </c>
      <c r="D57" s="4" t="s">
        <v>373</v>
      </c>
      <c r="E57" s="4" t="s">
        <v>357</v>
      </c>
      <c r="F57" s="4" t="s">
        <v>201</v>
      </c>
      <c r="G57" s="4" t="s">
        <v>374</v>
      </c>
      <c r="H57" s="4" t="s">
        <v>375</v>
      </c>
      <c r="I57" s="4" t="s">
        <v>201</v>
      </c>
      <c r="J57" s="4" t="n">
        <v>2025</v>
      </c>
      <c r="K57" s="5" t="s">
        <v>376</v>
      </c>
    </row>
    <row r="58" customFormat="false" ht="23.85" hidden="false" customHeight="false" outlineLevel="0" collapsed="false">
      <c r="A58" s="2" t="s">
        <v>357</v>
      </c>
      <c r="B58" s="2" t="s">
        <v>377</v>
      </c>
      <c r="C58" s="2" t="s">
        <v>378</v>
      </c>
      <c r="D58" s="2" t="s">
        <v>379</v>
      </c>
      <c r="E58" s="2" t="s">
        <v>380</v>
      </c>
      <c r="F58" s="2" t="s">
        <v>201</v>
      </c>
      <c r="G58" s="2" t="s">
        <v>381</v>
      </c>
      <c r="H58" s="2" t="s">
        <v>382</v>
      </c>
      <c r="I58" s="2" t="s">
        <v>201</v>
      </c>
      <c r="J58" s="2" t="n">
        <v>2025</v>
      </c>
      <c r="K58" s="3" t="s">
        <v>383</v>
      </c>
    </row>
  </sheetData>
  <autoFilter ref="A1:K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4" min="4" style="0" width="45"/>
    <col collapsed="false" customWidth="true" hidden="false" outlineLevel="0" max="5" min="5" style="0" width="42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6" t="s">
        <v>384</v>
      </c>
      <c r="B1" s="6" t="s">
        <v>385</v>
      </c>
      <c r="C1" s="6" t="s">
        <v>386</v>
      </c>
      <c r="D1" s="6" t="s">
        <v>387</v>
      </c>
      <c r="E1" s="6" t="s">
        <v>388</v>
      </c>
      <c r="F1" s="6" t="s">
        <v>389</v>
      </c>
      <c r="G1" s="6" t="s">
        <v>390</v>
      </c>
    </row>
    <row r="2" customFormat="false" ht="15" hidden="false" customHeight="false" outlineLevel="0" collapsed="false">
      <c r="A2" s="2" t="s">
        <v>391</v>
      </c>
      <c r="B2" s="2" t="s">
        <v>234</v>
      </c>
      <c r="C2" s="2" t="s">
        <v>147</v>
      </c>
      <c r="D2" s="2" t="s">
        <v>392</v>
      </c>
      <c r="E2" s="3" t="s">
        <v>393</v>
      </c>
      <c r="F2" s="2" t="s">
        <v>394</v>
      </c>
      <c r="G2" s="2" t="s">
        <v>395</v>
      </c>
    </row>
    <row r="3" customFormat="false" ht="15" hidden="false" customHeight="false" outlineLevel="0" collapsed="false">
      <c r="A3" s="4" t="s">
        <v>396</v>
      </c>
      <c r="B3" s="4" t="s">
        <v>241</v>
      </c>
      <c r="C3" s="4" t="s">
        <v>11</v>
      </c>
      <c r="D3" s="4" t="s">
        <v>397</v>
      </c>
      <c r="E3" s="5" t="s">
        <v>398</v>
      </c>
      <c r="F3" s="4" t="s">
        <v>399</v>
      </c>
      <c r="G3" s="4" t="s">
        <v>400</v>
      </c>
    </row>
    <row r="4" customFormat="false" ht="23.85" hidden="false" customHeight="false" outlineLevel="0" collapsed="false">
      <c r="A4" s="2" t="s">
        <v>401</v>
      </c>
      <c r="B4" s="2" t="s">
        <v>241</v>
      </c>
      <c r="C4" s="2" t="s">
        <v>147</v>
      </c>
      <c r="D4" s="2" t="s">
        <v>402</v>
      </c>
      <c r="E4" s="3" t="s">
        <v>403</v>
      </c>
      <c r="F4" s="2" t="s">
        <v>399</v>
      </c>
      <c r="G4" s="2" t="s">
        <v>404</v>
      </c>
    </row>
    <row r="5" customFormat="false" ht="15" hidden="false" customHeight="false" outlineLevel="0" collapsed="false">
      <c r="A5" s="4" t="s">
        <v>405</v>
      </c>
      <c r="B5" s="4" t="s">
        <v>406</v>
      </c>
      <c r="C5" s="4" t="s">
        <v>147</v>
      </c>
      <c r="D5" s="4" t="s">
        <v>407</v>
      </c>
      <c r="E5" s="5" t="s">
        <v>408</v>
      </c>
      <c r="F5" s="4" t="s">
        <v>399</v>
      </c>
      <c r="G5" s="4" t="s">
        <v>409</v>
      </c>
    </row>
    <row r="6" customFormat="false" ht="15" hidden="false" customHeight="false" outlineLevel="0" collapsed="false">
      <c r="A6" s="2" t="s">
        <v>410</v>
      </c>
      <c r="B6" s="2" t="s">
        <v>406</v>
      </c>
      <c r="C6" s="2" t="s">
        <v>411</v>
      </c>
      <c r="D6" s="2" t="s">
        <v>412</v>
      </c>
      <c r="E6" s="3" t="s">
        <v>413</v>
      </c>
      <c r="F6" s="2" t="s">
        <v>414</v>
      </c>
      <c r="G6" s="2" t="s">
        <v>415</v>
      </c>
    </row>
    <row r="7" customFormat="false" ht="15" hidden="false" customHeight="false" outlineLevel="0" collapsed="false">
      <c r="A7" s="4" t="s">
        <v>416</v>
      </c>
      <c r="B7" s="4" t="s">
        <v>417</v>
      </c>
      <c r="C7" s="4" t="s">
        <v>411</v>
      </c>
      <c r="D7" s="4" t="s">
        <v>418</v>
      </c>
      <c r="E7" s="5" t="s">
        <v>419</v>
      </c>
      <c r="F7" s="4" t="s">
        <v>420</v>
      </c>
      <c r="G7" s="4" t="s">
        <v>421</v>
      </c>
    </row>
    <row r="8" customFormat="false" ht="15" hidden="false" customHeight="false" outlineLevel="0" collapsed="false">
      <c r="A8" s="2" t="s">
        <v>422</v>
      </c>
      <c r="B8" s="2" t="s">
        <v>423</v>
      </c>
      <c r="C8" s="2" t="s">
        <v>411</v>
      </c>
      <c r="D8" s="2" t="s">
        <v>424</v>
      </c>
      <c r="E8" s="3" t="s">
        <v>425</v>
      </c>
      <c r="F8" s="2" t="s">
        <v>394</v>
      </c>
      <c r="G8" s="2" t="s">
        <v>426</v>
      </c>
    </row>
    <row r="9" customFormat="false" ht="15" hidden="false" customHeight="false" outlineLevel="0" collapsed="false">
      <c r="A9" s="4" t="s">
        <v>427</v>
      </c>
      <c r="B9" s="4" t="s">
        <v>234</v>
      </c>
      <c r="C9" s="4" t="s">
        <v>428</v>
      </c>
      <c r="D9" s="4" t="s">
        <v>429</v>
      </c>
      <c r="E9" s="5" t="s">
        <v>430</v>
      </c>
      <c r="F9" s="4" t="s">
        <v>431</v>
      </c>
      <c r="G9" s="4" t="s">
        <v>432</v>
      </c>
    </row>
    <row r="10" customFormat="false" ht="23.85" hidden="false" customHeight="false" outlineLevel="0" collapsed="false">
      <c r="A10" s="2" t="s">
        <v>433</v>
      </c>
      <c r="B10" s="2" t="s">
        <v>434</v>
      </c>
      <c r="C10" s="2" t="s">
        <v>411</v>
      </c>
      <c r="D10" s="2" t="s">
        <v>435</v>
      </c>
      <c r="E10" s="3" t="s">
        <v>436</v>
      </c>
      <c r="F10" s="2" t="s">
        <v>437</v>
      </c>
      <c r="G10" s="2" t="s">
        <v>438</v>
      </c>
    </row>
    <row r="11" customFormat="false" ht="23.85" hidden="false" customHeight="false" outlineLevel="0" collapsed="false">
      <c r="A11" s="4" t="s">
        <v>439</v>
      </c>
      <c r="B11" s="4" t="s">
        <v>255</v>
      </c>
      <c r="C11" s="4" t="s">
        <v>147</v>
      </c>
      <c r="D11" s="4" t="s">
        <v>440</v>
      </c>
      <c r="E11" s="5" t="s">
        <v>441</v>
      </c>
      <c r="F11" s="4" t="s">
        <v>442</v>
      </c>
      <c r="G11" s="4" t="s">
        <v>443</v>
      </c>
    </row>
    <row r="12" customFormat="false" ht="15" hidden="false" customHeight="false" outlineLevel="0" collapsed="false">
      <c r="A12" s="2" t="s">
        <v>444</v>
      </c>
      <c r="B12" s="2" t="s">
        <v>445</v>
      </c>
      <c r="C12" s="2" t="s">
        <v>428</v>
      </c>
      <c r="D12" s="2" t="s">
        <v>446</v>
      </c>
      <c r="E12" s="3" t="s">
        <v>447</v>
      </c>
      <c r="F12" s="2" t="s">
        <v>448</v>
      </c>
      <c r="G12" s="2" t="s">
        <v>449</v>
      </c>
    </row>
    <row r="13" customFormat="false" ht="15" hidden="false" customHeight="false" outlineLevel="0" collapsed="false">
      <c r="A13" s="4" t="s">
        <v>450</v>
      </c>
      <c r="B13" s="4" t="s">
        <v>451</v>
      </c>
      <c r="C13" s="4" t="s">
        <v>411</v>
      </c>
      <c r="D13" s="4" t="s">
        <v>452</v>
      </c>
      <c r="E13" s="5" t="s">
        <v>453</v>
      </c>
      <c r="F13" s="4" t="s">
        <v>451</v>
      </c>
      <c r="G13" s="4" t="s">
        <v>454</v>
      </c>
    </row>
    <row r="14" customFormat="false" ht="15" hidden="false" customHeight="false" outlineLevel="0" collapsed="false">
      <c r="A14" s="2" t="s">
        <v>455</v>
      </c>
      <c r="B14" s="2" t="s">
        <v>406</v>
      </c>
      <c r="C14" s="2" t="s">
        <v>147</v>
      </c>
      <c r="D14" s="2" t="s">
        <v>456</v>
      </c>
      <c r="E14" s="3" t="s">
        <v>457</v>
      </c>
      <c r="F14" s="2" t="s">
        <v>399</v>
      </c>
      <c r="G14" s="2" t="s">
        <v>458</v>
      </c>
    </row>
    <row r="15" customFormat="false" ht="15" hidden="false" customHeight="false" outlineLevel="0" collapsed="false">
      <c r="A15" s="4" t="s">
        <v>459</v>
      </c>
      <c r="B15" s="4" t="s">
        <v>241</v>
      </c>
      <c r="C15" s="4" t="s">
        <v>411</v>
      </c>
      <c r="D15" s="4" t="s">
        <v>460</v>
      </c>
      <c r="E15" s="5" t="s">
        <v>461</v>
      </c>
      <c r="F15" s="4" t="s">
        <v>462</v>
      </c>
      <c r="G15" s="4" t="s">
        <v>463</v>
      </c>
    </row>
    <row r="16" customFormat="false" ht="15" hidden="false" customHeight="false" outlineLevel="0" collapsed="false">
      <c r="A16" s="2" t="s">
        <v>464</v>
      </c>
      <c r="B16" s="2" t="s">
        <v>406</v>
      </c>
      <c r="C16" s="2" t="s">
        <v>411</v>
      </c>
      <c r="D16" s="2" t="s">
        <v>465</v>
      </c>
      <c r="E16" s="3" t="s">
        <v>466</v>
      </c>
      <c r="F16" s="2" t="s">
        <v>467</v>
      </c>
      <c r="G16" s="2" t="s">
        <v>468</v>
      </c>
    </row>
    <row r="17" customFormat="false" ht="15" hidden="false" customHeight="false" outlineLevel="0" collapsed="false">
      <c r="A17" s="4" t="s">
        <v>469</v>
      </c>
      <c r="B17" s="4" t="s">
        <v>109</v>
      </c>
      <c r="C17" s="4" t="s">
        <v>11</v>
      </c>
      <c r="D17" s="4" t="s">
        <v>470</v>
      </c>
      <c r="E17" s="5" t="s">
        <v>471</v>
      </c>
      <c r="F17" s="4" t="s">
        <v>109</v>
      </c>
      <c r="G17" s="4" t="s">
        <v>108</v>
      </c>
    </row>
    <row r="18" customFormat="false" ht="15" hidden="false" customHeight="false" outlineLevel="0" collapsed="false">
      <c r="A18" s="2" t="s">
        <v>472</v>
      </c>
      <c r="B18" s="2" t="s">
        <v>473</v>
      </c>
      <c r="C18" s="2" t="s">
        <v>11</v>
      </c>
      <c r="D18" s="2" t="s">
        <v>474</v>
      </c>
      <c r="E18" s="3" t="s">
        <v>475</v>
      </c>
      <c r="F18" s="2" t="s">
        <v>473</v>
      </c>
      <c r="G18" s="2" t="s">
        <v>476</v>
      </c>
    </row>
    <row r="19" customFormat="false" ht="15" hidden="false" customHeight="false" outlineLevel="0" collapsed="false">
      <c r="A19" s="4" t="s">
        <v>477</v>
      </c>
      <c r="B19" s="4" t="s">
        <v>314</v>
      </c>
      <c r="C19" s="4" t="s">
        <v>147</v>
      </c>
      <c r="D19" s="4" t="s">
        <v>478</v>
      </c>
      <c r="E19" s="5" t="s">
        <v>479</v>
      </c>
      <c r="F19" s="4" t="s">
        <v>480</v>
      </c>
      <c r="G19" s="4" t="s">
        <v>481</v>
      </c>
    </row>
    <row r="20" customFormat="false" ht="15" hidden="false" customHeight="false" outlineLevel="0" collapsed="false">
      <c r="A20" s="2" t="s">
        <v>482</v>
      </c>
      <c r="B20" s="2" t="s">
        <v>483</v>
      </c>
      <c r="C20" s="2" t="s">
        <v>428</v>
      </c>
      <c r="D20" s="2" t="s">
        <v>484</v>
      </c>
      <c r="E20" s="3" t="s">
        <v>485</v>
      </c>
      <c r="F20" s="2" t="s">
        <v>486</v>
      </c>
      <c r="G20" s="2" t="s">
        <v>487</v>
      </c>
    </row>
    <row r="21" customFormat="false" ht="15" hidden="false" customHeight="false" outlineLevel="0" collapsed="false">
      <c r="A21" s="4" t="s">
        <v>488</v>
      </c>
      <c r="B21" s="4" t="s">
        <v>489</v>
      </c>
      <c r="C21" s="4" t="s">
        <v>428</v>
      </c>
      <c r="D21" s="4" t="s">
        <v>490</v>
      </c>
      <c r="E21" s="5" t="s">
        <v>491</v>
      </c>
      <c r="F21" s="4" t="s">
        <v>492</v>
      </c>
      <c r="G21" s="4" t="s">
        <v>493</v>
      </c>
    </row>
    <row r="22" customFormat="false" ht="15" hidden="false" customHeight="false" outlineLevel="0" collapsed="false">
      <c r="A22" s="2" t="s">
        <v>494</v>
      </c>
      <c r="B22" s="2" t="s">
        <v>495</v>
      </c>
      <c r="C22" s="2" t="s">
        <v>428</v>
      </c>
      <c r="D22" s="2" t="s">
        <v>496</v>
      </c>
      <c r="E22" s="3" t="s">
        <v>497</v>
      </c>
      <c r="F22" s="2" t="s">
        <v>498</v>
      </c>
      <c r="G22" s="2" t="s">
        <v>499</v>
      </c>
    </row>
    <row r="23" customFormat="false" ht="15" hidden="false" customHeight="false" outlineLevel="0" collapsed="false">
      <c r="A23" s="4" t="s">
        <v>500</v>
      </c>
      <c r="B23" s="4" t="s">
        <v>501</v>
      </c>
      <c r="C23" s="4" t="s">
        <v>411</v>
      </c>
      <c r="D23" s="4" t="s">
        <v>502</v>
      </c>
      <c r="E23" s="5" t="s">
        <v>503</v>
      </c>
      <c r="F23" s="4" t="s">
        <v>504</v>
      </c>
      <c r="G23" s="4" t="s">
        <v>505</v>
      </c>
    </row>
  </sheetData>
  <autoFilter ref="A1:G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5"/>
    <col collapsed="false" customWidth="true" hidden="false" outlineLevel="0" max="3" min="2" style="0" width="20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28"/>
    <col collapsed="false" customWidth="true" hidden="false" outlineLevel="0" max="11" min="11" style="0" width="35"/>
  </cols>
  <sheetData>
    <row r="1" customFormat="false" ht="26.85" hidden="false" customHeight="false" outlineLevel="0" collapsed="false">
      <c r="A1" s="7" t="s">
        <v>506</v>
      </c>
      <c r="B1" s="7" t="s">
        <v>507</v>
      </c>
      <c r="C1" s="7" t="s">
        <v>508</v>
      </c>
      <c r="D1" s="7" t="s">
        <v>9</v>
      </c>
      <c r="E1" s="7" t="s">
        <v>0</v>
      </c>
      <c r="F1" s="7" t="s">
        <v>509</v>
      </c>
      <c r="G1" s="7" t="s">
        <v>510</v>
      </c>
      <c r="H1" s="7" t="s">
        <v>511</v>
      </c>
      <c r="I1" s="7" t="s">
        <v>512</v>
      </c>
      <c r="J1" s="7" t="s">
        <v>390</v>
      </c>
      <c r="K1" s="7" t="s">
        <v>513</v>
      </c>
    </row>
    <row r="2" customFormat="false" ht="23.85" hidden="false" customHeight="false" outlineLevel="0" collapsed="false">
      <c r="A2" s="2" t="s">
        <v>514</v>
      </c>
      <c r="B2" s="2" t="s">
        <v>515</v>
      </c>
      <c r="C2" s="2" t="s">
        <v>516</v>
      </c>
      <c r="D2" s="2" t="n">
        <v>2025</v>
      </c>
      <c r="E2" s="2" t="s">
        <v>11</v>
      </c>
      <c r="F2" s="2" t="s">
        <v>517</v>
      </c>
      <c r="G2" s="2" t="s">
        <v>518</v>
      </c>
      <c r="H2" s="2" t="n">
        <v>5</v>
      </c>
      <c r="I2" s="2" t="s">
        <v>519</v>
      </c>
      <c r="J2" s="2"/>
      <c r="K2" s="3" t="s">
        <v>20</v>
      </c>
    </row>
    <row r="3" customFormat="false" ht="35.05" hidden="false" customHeight="false" outlineLevel="0" collapsed="false">
      <c r="A3" s="4" t="s">
        <v>520</v>
      </c>
      <c r="B3" s="4" t="s">
        <v>229</v>
      </c>
      <c r="C3" s="4" t="s">
        <v>521</v>
      </c>
      <c r="D3" s="4" t="n">
        <v>2025</v>
      </c>
      <c r="E3" s="4" t="s">
        <v>11</v>
      </c>
      <c r="F3" s="4" t="s">
        <v>522</v>
      </c>
      <c r="G3" s="4" t="s">
        <v>523</v>
      </c>
      <c r="H3" s="4" t="n">
        <v>5</v>
      </c>
      <c r="I3" s="4" t="s">
        <v>519</v>
      </c>
      <c r="J3" s="4"/>
      <c r="K3" s="5" t="s">
        <v>524</v>
      </c>
    </row>
    <row r="4" customFormat="false" ht="23.85" hidden="false" customHeight="false" outlineLevel="0" collapsed="false">
      <c r="A4" s="2" t="s">
        <v>525</v>
      </c>
      <c r="B4" s="2" t="s">
        <v>526</v>
      </c>
      <c r="C4" s="2" t="s">
        <v>527</v>
      </c>
      <c r="D4" s="2" t="n">
        <v>2025</v>
      </c>
      <c r="E4" s="2" t="s">
        <v>147</v>
      </c>
      <c r="F4" s="2" t="s">
        <v>234</v>
      </c>
      <c r="G4" s="2" t="s">
        <v>528</v>
      </c>
      <c r="H4" s="2" t="n">
        <v>5</v>
      </c>
      <c r="I4" s="2" t="s">
        <v>519</v>
      </c>
      <c r="J4" s="2"/>
      <c r="K4" s="3" t="s">
        <v>240</v>
      </c>
    </row>
    <row r="5" customFormat="false" ht="35.05" hidden="false" customHeight="false" outlineLevel="0" collapsed="false">
      <c r="A5" s="4" t="s">
        <v>529</v>
      </c>
      <c r="B5" s="4" t="s">
        <v>229</v>
      </c>
      <c r="C5" s="4" t="s">
        <v>530</v>
      </c>
      <c r="D5" s="4" t="n">
        <v>2025</v>
      </c>
      <c r="E5" s="4" t="s">
        <v>531</v>
      </c>
      <c r="F5" s="4" t="s">
        <v>233</v>
      </c>
      <c r="G5" s="4" t="s">
        <v>532</v>
      </c>
      <c r="H5" s="4" t="n">
        <v>4</v>
      </c>
      <c r="I5" s="4" t="s">
        <v>519</v>
      </c>
      <c r="J5" s="4"/>
      <c r="K5" s="5" t="s">
        <v>247</v>
      </c>
    </row>
    <row r="6" customFormat="false" ht="23.85" hidden="false" customHeight="false" outlineLevel="0" collapsed="false">
      <c r="A6" s="2" t="s">
        <v>533</v>
      </c>
      <c r="B6" s="2" t="s">
        <v>229</v>
      </c>
      <c r="C6" s="2" t="s">
        <v>534</v>
      </c>
      <c r="D6" s="2" t="n">
        <v>2025</v>
      </c>
      <c r="E6" s="2" t="s">
        <v>147</v>
      </c>
      <c r="F6" s="2" t="s">
        <v>248</v>
      </c>
      <c r="G6" s="2" t="s">
        <v>535</v>
      </c>
      <c r="H6" s="2" t="n">
        <v>4</v>
      </c>
      <c r="I6" s="2" t="s">
        <v>519</v>
      </c>
      <c r="J6" s="2"/>
      <c r="K6" s="3" t="s">
        <v>254</v>
      </c>
    </row>
    <row r="7" customFormat="false" ht="35.05" hidden="false" customHeight="false" outlineLevel="0" collapsed="false">
      <c r="A7" s="4" t="s">
        <v>536</v>
      </c>
      <c r="B7" s="4" t="s">
        <v>229</v>
      </c>
      <c r="C7" s="4" t="s">
        <v>530</v>
      </c>
      <c r="D7" s="4" t="n">
        <v>2025</v>
      </c>
      <c r="E7" s="4" t="s">
        <v>11</v>
      </c>
      <c r="F7" s="4" t="s">
        <v>537</v>
      </c>
      <c r="G7" s="4" t="s">
        <v>538</v>
      </c>
      <c r="H7" s="4" t="n">
        <v>4</v>
      </c>
      <c r="I7" s="4" t="s">
        <v>519</v>
      </c>
      <c r="J7" s="4"/>
      <c r="K7" s="5" t="s">
        <v>82</v>
      </c>
    </row>
    <row r="8" customFormat="false" ht="23.85" hidden="false" customHeight="false" outlineLevel="0" collapsed="false">
      <c r="A8" s="2" t="s">
        <v>539</v>
      </c>
      <c r="B8" s="2" t="s">
        <v>229</v>
      </c>
      <c r="C8" s="2" t="s">
        <v>540</v>
      </c>
      <c r="D8" s="2" t="n">
        <v>2025</v>
      </c>
      <c r="E8" s="2" t="s">
        <v>11</v>
      </c>
      <c r="F8" s="2" t="s">
        <v>541</v>
      </c>
      <c r="G8" s="2" t="s">
        <v>542</v>
      </c>
      <c r="H8" s="2" t="n">
        <v>4</v>
      </c>
      <c r="I8" s="2" t="s">
        <v>519</v>
      </c>
      <c r="J8" s="2"/>
      <c r="K8" s="3" t="s">
        <v>543</v>
      </c>
    </row>
    <row r="9" customFormat="false" ht="23.85" hidden="false" customHeight="false" outlineLevel="0" collapsed="false">
      <c r="A9" s="4" t="s">
        <v>544</v>
      </c>
      <c r="B9" s="4" t="s">
        <v>229</v>
      </c>
      <c r="C9" s="4" t="s">
        <v>545</v>
      </c>
      <c r="D9" s="4" t="n">
        <v>2025</v>
      </c>
      <c r="E9" s="4" t="s">
        <v>11</v>
      </c>
      <c r="F9" s="4" t="s">
        <v>546</v>
      </c>
      <c r="G9" s="4" t="s">
        <v>547</v>
      </c>
      <c r="H9" s="4" t="n">
        <v>3</v>
      </c>
      <c r="I9" s="4" t="s">
        <v>519</v>
      </c>
      <c r="J9" s="4"/>
      <c r="K9" s="5" t="s">
        <v>141</v>
      </c>
    </row>
    <row r="10" customFormat="false" ht="23.85" hidden="false" customHeight="false" outlineLevel="0" collapsed="false">
      <c r="A10" s="2" t="s">
        <v>548</v>
      </c>
      <c r="B10" s="2" t="s">
        <v>229</v>
      </c>
      <c r="C10" s="2" t="s">
        <v>549</v>
      </c>
      <c r="D10" s="2" t="n">
        <v>2025</v>
      </c>
      <c r="E10" s="2" t="s">
        <v>147</v>
      </c>
      <c r="F10" s="2" t="s">
        <v>550</v>
      </c>
      <c r="G10" s="2" t="s">
        <v>206</v>
      </c>
      <c r="H10" s="2" t="n">
        <v>5</v>
      </c>
      <c r="I10" s="2" t="s">
        <v>519</v>
      </c>
      <c r="J10" s="2"/>
      <c r="K10" s="3" t="s">
        <v>207</v>
      </c>
    </row>
    <row r="11" customFormat="false" ht="35.05" hidden="false" customHeight="false" outlineLevel="0" collapsed="false">
      <c r="A11" s="4" t="s">
        <v>551</v>
      </c>
      <c r="B11" s="4" t="s">
        <v>229</v>
      </c>
      <c r="C11" s="4" t="s">
        <v>530</v>
      </c>
      <c r="D11" s="4" t="n">
        <v>2026</v>
      </c>
      <c r="E11" s="4" t="s">
        <v>411</v>
      </c>
      <c r="F11" s="4" t="s">
        <v>552</v>
      </c>
      <c r="G11" s="4" t="s">
        <v>553</v>
      </c>
      <c r="H11" s="4" t="n">
        <v>4</v>
      </c>
      <c r="I11" s="4" t="s">
        <v>519</v>
      </c>
      <c r="J11" s="4"/>
      <c r="K11" s="5" t="s">
        <v>554</v>
      </c>
    </row>
    <row r="12" customFormat="false" ht="23.85" hidden="false" customHeight="false" outlineLevel="0" collapsed="false">
      <c r="A12" s="2" t="s">
        <v>555</v>
      </c>
      <c r="B12" s="2" t="s">
        <v>229</v>
      </c>
      <c r="C12" s="2" t="s">
        <v>527</v>
      </c>
      <c r="D12" s="2" t="n">
        <v>2025</v>
      </c>
      <c r="E12" s="2" t="s">
        <v>531</v>
      </c>
      <c r="F12" s="2" t="s">
        <v>314</v>
      </c>
      <c r="G12" s="2" t="s">
        <v>556</v>
      </c>
      <c r="H12" s="2" t="n">
        <v>4</v>
      </c>
      <c r="I12" s="2" t="s">
        <v>519</v>
      </c>
      <c r="J12" s="2"/>
      <c r="K12" s="3" t="s">
        <v>327</v>
      </c>
    </row>
    <row r="13" customFormat="false" ht="23.85" hidden="false" customHeight="false" outlineLevel="0" collapsed="false">
      <c r="A13" s="4" t="s">
        <v>557</v>
      </c>
      <c r="B13" s="4" t="s">
        <v>229</v>
      </c>
      <c r="C13" s="4" t="s">
        <v>558</v>
      </c>
      <c r="D13" s="4" t="n">
        <v>2026</v>
      </c>
      <c r="E13" s="4" t="s">
        <v>11</v>
      </c>
      <c r="F13" s="4" t="s">
        <v>314</v>
      </c>
      <c r="G13" s="4" t="s">
        <v>559</v>
      </c>
      <c r="H13" s="4" t="n">
        <v>4</v>
      </c>
      <c r="I13" s="4" t="s">
        <v>519</v>
      </c>
      <c r="J13" s="4"/>
      <c r="K13" s="5" t="s">
        <v>560</v>
      </c>
    </row>
    <row r="14" customFormat="false" ht="23.85" hidden="false" customHeight="false" outlineLevel="0" collapsed="false">
      <c r="A14" s="2" t="s">
        <v>561</v>
      </c>
      <c r="B14" s="2" t="s">
        <v>562</v>
      </c>
      <c r="C14" s="2" t="s">
        <v>563</v>
      </c>
      <c r="D14" s="2" t="n">
        <v>2025</v>
      </c>
      <c r="E14" s="2" t="s">
        <v>221</v>
      </c>
      <c r="F14" s="2" t="s">
        <v>564</v>
      </c>
      <c r="G14" s="2" t="s">
        <v>565</v>
      </c>
      <c r="H14" s="2" t="n">
        <v>4</v>
      </c>
      <c r="I14" s="2" t="s">
        <v>519</v>
      </c>
      <c r="J14" s="2"/>
      <c r="K14" s="3" t="s">
        <v>279</v>
      </c>
    </row>
    <row r="15" customFormat="false" ht="23.85" hidden="false" customHeight="false" outlineLevel="0" collapsed="false">
      <c r="A15" s="4" t="s">
        <v>566</v>
      </c>
      <c r="B15" s="4" t="s">
        <v>567</v>
      </c>
      <c r="C15" s="4" t="s">
        <v>521</v>
      </c>
      <c r="D15" s="4" t="n">
        <v>2023</v>
      </c>
      <c r="E15" s="4" t="s">
        <v>568</v>
      </c>
      <c r="F15" s="4" t="s">
        <v>357</v>
      </c>
      <c r="G15" s="4" t="s">
        <v>569</v>
      </c>
      <c r="H15" s="4" t="n">
        <v>5</v>
      </c>
      <c r="I15" s="4" t="s">
        <v>519</v>
      </c>
      <c r="J15" s="4" t="s">
        <v>570</v>
      </c>
      <c r="K15" s="5" t="s">
        <v>364</v>
      </c>
    </row>
    <row r="16" customFormat="false" ht="35.05" hidden="false" customHeight="false" outlineLevel="0" collapsed="false">
      <c r="A16" s="2" t="s">
        <v>571</v>
      </c>
      <c r="B16" s="2" t="s">
        <v>572</v>
      </c>
      <c r="C16" s="2" t="s">
        <v>521</v>
      </c>
      <c r="D16" s="2" t="n">
        <v>2024</v>
      </c>
      <c r="E16" s="2" t="s">
        <v>568</v>
      </c>
      <c r="F16" s="2" t="s">
        <v>573</v>
      </c>
      <c r="G16" s="2" t="s">
        <v>574</v>
      </c>
      <c r="H16" s="2" t="n">
        <v>5</v>
      </c>
      <c r="I16" s="2" t="s">
        <v>519</v>
      </c>
      <c r="J16" s="2" t="s">
        <v>570</v>
      </c>
      <c r="K16" s="3" t="s">
        <v>383</v>
      </c>
    </row>
    <row r="17" customFormat="false" ht="23.85" hidden="false" customHeight="false" outlineLevel="0" collapsed="false">
      <c r="A17" s="4" t="s">
        <v>575</v>
      </c>
      <c r="B17" s="4" t="s">
        <v>229</v>
      </c>
      <c r="C17" s="4" t="s">
        <v>549</v>
      </c>
      <c r="D17" s="4" t="n">
        <v>2025</v>
      </c>
      <c r="E17" s="4" t="s">
        <v>147</v>
      </c>
      <c r="F17" s="4" t="s">
        <v>576</v>
      </c>
      <c r="G17" s="4" t="s">
        <v>577</v>
      </c>
      <c r="H17" s="4" t="n">
        <v>5</v>
      </c>
      <c r="I17" s="4" t="s">
        <v>519</v>
      </c>
      <c r="J17" s="4"/>
      <c r="K17" s="5" t="s">
        <v>188</v>
      </c>
    </row>
    <row r="18" customFormat="false" ht="23.85" hidden="false" customHeight="false" outlineLevel="0" collapsed="false">
      <c r="A18" s="2" t="s">
        <v>578</v>
      </c>
      <c r="B18" s="2" t="s">
        <v>229</v>
      </c>
      <c r="C18" s="2" t="s">
        <v>579</v>
      </c>
      <c r="D18" s="2" t="n">
        <v>2025</v>
      </c>
      <c r="E18" s="2" t="s">
        <v>411</v>
      </c>
      <c r="F18" s="2" t="s">
        <v>580</v>
      </c>
      <c r="G18" s="2" t="s">
        <v>581</v>
      </c>
      <c r="H18" s="2" t="n">
        <v>3</v>
      </c>
      <c r="I18" s="2" t="s">
        <v>519</v>
      </c>
      <c r="J18" s="2"/>
      <c r="K18" s="3" t="s">
        <v>55</v>
      </c>
    </row>
    <row r="19" customFormat="false" ht="23.85" hidden="false" customHeight="false" outlineLevel="0" collapsed="false">
      <c r="A19" s="4" t="s">
        <v>582</v>
      </c>
      <c r="B19" s="4" t="s">
        <v>229</v>
      </c>
      <c r="C19" s="4" t="s">
        <v>583</v>
      </c>
      <c r="D19" s="4" t="n">
        <v>2026</v>
      </c>
      <c r="E19" s="4" t="s">
        <v>584</v>
      </c>
      <c r="F19" s="4" t="s">
        <v>585</v>
      </c>
      <c r="G19" s="4" t="s">
        <v>586</v>
      </c>
      <c r="H19" s="4" t="n">
        <v>4</v>
      </c>
      <c r="I19" s="4" t="s">
        <v>519</v>
      </c>
      <c r="J19" s="4"/>
      <c r="K19" s="5" t="s">
        <v>371</v>
      </c>
    </row>
    <row r="20" customFormat="false" ht="23.85" hidden="false" customHeight="false" outlineLevel="0" collapsed="false">
      <c r="A20" s="2" t="s">
        <v>587</v>
      </c>
      <c r="B20" s="2" t="s">
        <v>229</v>
      </c>
      <c r="C20" s="2" t="s">
        <v>588</v>
      </c>
      <c r="D20" s="2" t="n">
        <v>2025</v>
      </c>
      <c r="E20" s="2" t="s">
        <v>11</v>
      </c>
      <c r="F20" s="2" t="s">
        <v>589</v>
      </c>
      <c r="G20" s="2" t="s">
        <v>590</v>
      </c>
      <c r="H20" s="2" t="n">
        <v>3</v>
      </c>
      <c r="I20" s="2" t="s">
        <v>519</v>
      </c>
      <c r="J20" s="2"/>
      <c r="K20" s="3" t="s">
        <v>591</v>
      </c>
    </row>
    <row r="21" customFormat="false" ht="23.85" hidden="false" customHeight="false" outlineLevel="0" collapsed="false">
      <c r="A21" s="4" t="s">
        <v>592</v>
      </c>
      <c r="B21" s="4" t="s">
        <v>229</v>
      </c>
      <c r="C21" s="4" t="s">
        <v>593</v>
      </c>
      <c r="D21" s="4" t="n">
        <v>2026</v>
      </c>
      <c r="E21" s="4" t="s">
        <v>147</v>
      </c>
      <c r="F21" s="4" t="s">
        <v>594</v>
      </c>
      <c r="G21" s="4" t="s">
        <v>595</v>
      </c>
      <c r="H21" s="4" t="n">
        <v>4</v>
      </c>
      <c r="I21" s="4" t="s">
        <v>519</v>
      </c>
      <c r="J21" s="4"/>
      <c r="K21" s="5" t="s">
        <v>596</v>
      </c>
    </row>
    <row r="22" customFormat="false" ht="23.85" hidden="false" customHeight="false" outlineLevel="0" collapsed="false">
      <c r="A22" s="2" t="s">
        <v>597</v>
      </c>
      <c r="B22" s="2" t="s">
        <v>229</v>
      </c>
      <c r="C22" s="2" t="s">
        <v>598</v>
      </c>
      <c r="D22" s="2" t="n">
        <v>2025</v>
      </c>
      <c r="E22" s="2" t="s">
        <v>91</v>
      </c>
      <c r="F22" s="2" t="s">
        <v>599</v>
      </c>
      <c r="G22" s="2" t="s">
        <v>600</v>
      </c>
      <c r="H22" s="2" t="n">
        <v>4</v>
      </c>
      <c r="I22" s="2" t="s">
        <v>519</v>
      </c>
      <c r="J22" s="2"/>
      <c r="K22" s="3" t="s">
        <v>220</v>
      </c>
    </row>
    <row r="23" customFormat="false" ht="35.05" hidden="false" customHeight="false" outlineLevel="0" collapsed="false">
      <c r="A23" s="4" t="s">
        <v>601</v>
      </c>
      <c r="B23" s="4" t="s">
        <v>229</v>
      </c>
      <c r="C23" s="4" t="s">
        <v>602</v>
      </c>
      <c r="D23" s="4" t="n">
        <v>2025</v>
      </c>
      <c r="E23" s="4" t="s">
        <v>267</v>
      </c>
      <c r="F23" s="4" t="s">
        <v>603</v>
      </c>
      <c r="G23" s="4" t="s">
        <v>604</v>
      </c>
      <c r="H23" s="4" t="n">
        <v>3</v>
      </c>
      <c r="I23" s="4" t="s">
        <v>519</v>
      </c>
      <c r="J23" s="4"/>
      <c r="K23" s="5" t="s">
        <v>273</v>
      </c>
    </row>
    <row r="24" customFormat="false" ht="23.85" hidden="false" customHeight="false" outlineLevel="0" collapsed="false">
      <c r="A24" s="2" t="s">
        <v>605</v>
      </c>
      <c r="B24" s="2" t="s">
        <v>229</v>
      </c>
      <c r="C24" s="2" t="s">
        <v>540</v>
      </c>
      <c r="D24" s="2" t="n">
        <v>2025</v>
      </c>
      <c r="E24" s="2" t="s">
        <v>11</v>
      </c>
      <c r="F24" s="2" t="s">
        <v>541</v>
      </c>
      <c r="G24" s="2" t="s">
        <v>606</v>
      </c>
      <c r="H24" s="2" t="n">
        <v>4</v>
      </c>
      <c r="I24" s="2" t="s">
        <v>519</v>
      </c>
      <c r="J24" s="2"/>
      <c r="K24" s="3" t="s">
        <v>607</v>
      </c>
    </row>
    <row r="25" customFormat="false" ht="35.05" hidden="false" customHeight="false" outlineLevel="0" collapsed="false">
      <c r="A25" s="4" t="s">
        <v>608</v>
      </c>
      <c r="B25" s="4" t="s">
        <v>609</v>
      </c>
      <c r="C25" s="4" t="s">
        <v>610</v>
      </c>
      <c r="D25" s="4" t="n">
        <v>2026</v>
      </c>
      <c r="E25" s="4" t="s">
        <v>611</v>
      </c>
      <c r="F25" s="4" t="s">
        <v>612</v>
      </c>
      <c r="G25" s="4" t="s">
        <v>613</v>
      </c>
      <c r="H25" s="4" t="n">
        <v>5</v>
      </c>
      <c r="I25" s="4" t="s">
        <v>519</v>
      </c>
      <c r="J25" s="4" t="s">
        <v>614</v>
      </c>
      <c r="K25" s="5" t="s">
        <v>615</v>
      </c>
    </row>
    <row r="26" customFormat="false" ht="23.85" hidden="false" customHeight="false" outlineLevel="0" collapsed="false">
      <c r="A26" s="2" t="s">
        <v>616</v>
      </c>
      <c r="B26" s="2" t="s">
        <v>229</v>
      </c>
      <c r="C26" s="2" t="s">
        <v>617</v>
      </c>
      <c r="D26" s="2" t="n">
        <v>2023</v>
      </c>
      <c r="E26" s="2" t="s">
        <v>147</v>
      </c>
      <c r="F26" s="2" t="s">
        <v>550</v>
      </c>
      <c r="G26" s="2" t="s">
        <v>618</v>
      </c>
      <c r="H26" s="2" t="n">
        <v>4</v>
      </c>
      <c r="I26" s="2" t="s">
        <v>519</v>
      </c>
      <c r="J26" s="2" t="s">
        <v>619</v>
      </c>
      <c r="K26" s="3" t="s">
        <v>620</v>
      </c>
    </row>
  </sheetData>
  <autoFilter ref="A1:K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45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8" t="s">
        <v>0</v>
      </c>
      <c r="B1" s="8" t="s">
        <v>621</v>
      </c>
      <c r="C1" s="8" t="s">
        <v>387</v>
      </c>
      <c r="D1" s="8" t="s">
        <v>622</v>
      </c>
      <c r="E1" s="8" t="s">
        <v>8</v>
      </c>
      <c r="F1" s="8" t="s">
        <v>623</v>
      </c>
    </row>
    <row r="2" customFormat="false" ht="23.85" hidden="false" customHeight="false" outlineLevel="0" collapsed="false">
      <c r="A2" s="2" t="s">
        <v>328</v>
      </c>
      <c r="B2" s="2" t="s">
        <v>624</v>
      </c>
      <c r="C2" s="2" t="s">
        <v>625</v>
      </c>
      <c r="D2" s="2" t="s">
        <v>626</v>
      </c>
      <c r="E2" s="2" t="s">
        <v>627</v>
      </c>
      <c r="F2" s="2" t="s">
        <v>628</v>
      </c>
    </row>
    <row r="3" customFormat="false" ht="23.85" hidden="false" customHeight="false" outlineLevel="0" collapsed="false">
      <c r="A3" s="4" t="s">
        <v>328</v>
      </c>
      <c r="B3" s="4" t="s">
        <v>629</v>
      </c>
      <c r="C3" s="4" t="s">
        <v>630</v>
      </c>
      <c r="D3" s="4" t="s">
        <v>631</v>
      </c>
      <c r="E3" s="4" t="s">
        <v>19</v>
      </c>
      <c r="F3" s="4" t="s">
        <v>628</v>
      </c>
    </row>
    <row r="4" customFormat="false" ht="23.85" hidden="false" customHeight="false" outlineLevel="0" collapsed="false">
      <c r="A4" s="2" t="s">
        <v>328</v>
      </c>
      <c r="B4" s="2" t="s">
        <v>632</v>
      </c>
      <c r="C4" s="2" t="s">
        <v>633</v>
      </c>
      <c r="D4" s="2" t="s">
        <v>634</v>
      </c>
      <c r="E4" s="2" t="s">
        <v>627</v>
      </c>
      <c r="F4" s="2" t="s">
        <v>628</v>
      </c>
    </row>
    <row r="5" customFormat="false" ht="15" hidden="false" customHeight="false" outlineLevel="0" collapsed="false">
      <c r="A5" s="4" t="s">
        <v>328</v>
      </c>
      <c r="B5" s="4" t="s">
        <v>635</v>
      </c>
      <c r="C5" s="4" t="s">
        <v>636</v>
      </c>
      <c r="D5" s="4" t="s">
        <v>637</v>
      </c>
      <c r="E5" s="4" t="s">
        <v>19</v>
      </c>
      <c r="F5" s="4" t="s">
        <v>638</v>
      </c>
    </row>
    <row r="6" customFormat="false" ht="15" hidden="false" customHeight="false" outlineLevel="0" collapsed="false">
      <c r="A6" s="2" t="s">
        <v>639</v>
      </c>
      <c r="B6" s="2" t="s">
        <v>640</v>
      </c>
      <c r="C6" s="2" t="s">
        <v>641</v>
      </c>
      <c r="D6" s="2" t="s">
        <v>642</v>
      </c>
      <c r="E6" s="2" t="s">
        <v>627</v>
      </c>
      <c r="F6" s="2" t="s">
        <v>628</v>
      </c>
    </row>
    <row r="7" customFormat="false" ht="15" hidden="false" customHeight="false" outlineLevel="0" collapsed="false">
      <c r="A7" s="4" t="s">
        <v>639</v>
      </c>
      <c r="B7" s="4" t="s">
        <v>643</v>
      </c>
      <c r="C7" s="4" t="s">
        <v>644</v>
      </c>
      <c r="D7" s="4" t="s">
        <v>645</v>
      </c>
      <c r="E7" s="4" t="s">
        <v>19</v>
      </c>
      <c r="F7" s="4" t="s">
        <v>628</v>
      </c>
    </row>
    <row r="8" customFormat="false" ht="23.85" hidden="false" customHeight="false" outlineLevel="0" collapsed="false">
      <c r="A8" s="2" t="s">
        <v>639</v>
      </c>
      <c r="B8" s="2" t="s">
        <v>646</v>
      </c>
      <c r="C8" s="2" t="s">
        <v>647</v>
      </c>
      <c r="D8" s="2" t="s">
        <v>648</v>
      </c>
      <c r="E8" s="2" t="s">
        <v>19</v>
      </c>
      <c r="F8" s="2" t="s">
        <v>638</v>
      </c>
    </row>
    <row r="9" customFormat="false" ht="23.85" hidden="false" customHeight="false" outlineLevel="0" collapsed="false">
      <c r="A9" s="4" t="s">
        <v>639</v>
      </c>
      <c r="B9" s="4" t="s">
        <v>649</v>
      </c>
      <c r="C9" s="4" t="s">
        <v>650</v>
      </c>
      <c r="D9" s="4" t="s">
        <v>651</v>
      </c>
      <c r="E9" s="4" t="s">
        <v>19</v>
      </c>
      <c r="F9" s="4" t="s">
        <v>628</v>
      </c>
    </row>
    <row r="10" customFormat="false" ht="15" hidden="false" customHeight="false" outlineLevel="0" collapsed="false">
      <c r="A10" s="2" t="s">
        <v>537</v>
      </c>
      <c r="B10" s="2" t="s">
        <v>652</v>
      </c>
      <c r="C10" s="2" t="s">
        <v>653</v>
      </c>
      <c r="D10" s="2" t="s">
        <v>654</v>
      </c>
      <c r="E10" s="2" t="s">
        <v>627</v>
      </c>
      <c r="F10" s="2" t="s">
        <v>628</v>
      </c>
    </row>
    <row r="11" customFormat="false" ht="15" hidden="false" customHeight="false" outlineLevel="0" collapsed="false">
      <c r="A11" s="4" t="s">
        <v>537</v>
      </c>
      <c r="B11" s="4" t="s">
        <v>655</v>
      </c>
      <c r="C11" s="4" t="s">
        <v>656</v>
      </c>
      <c r="D11" s="4" t="s">
        <v>657</v>
      </c>
      <c r="E11" s="4" t="s">
        <v>627</v>
      </c>
      <c r="F11" s="4" t="s">
        <v>628</v>
      </c>
    </row>
    <row r="12" customFormat="false" ht="23.85" hidden="false" customHeight="false" outlineLevel="0" collapsed="false">
      <c r="A12" s="2" t="s">
        <v>537</v>
      </c>
      <c r="B12" s="2" t="s">
        <v>658</v>
      </c>
      <c r="C12" s="2" t="s">
        <v>659</v>
      </c>
      <c r="D12" s="2" t="s">
        <v>660</v>
      </c>
      <c r="E12" s="2" t="s">
        <v>19</v>
      </c>
      <c r="F12" s="2" t="s">
        <v>638</v>
      </c>
    </row>
    <row r="13" customFormat="false" ht="23.85" hidden="false" customHeight="false" outlineLevel="0" collapsed="false">
      <c r="A13" s="4" t="s">
        <v>121</v>
      </c>
      <c r="B13" s="4" t="s">
        <v>661</v>
      </c>
      <c r="C13" s="4" t="s">
        <v>662</v>
      </c>
      <c r="D13" s="4" t="s">
        <v>663</v>
      </c>
      <c r="E13" s="4" t="s">
        <v>627</v>
      </c>
      <c r="F13" s="4" t="s">
        <v>628</v>
      </c>
    </row>
    <row r="14" customFormat="false" ht="15" hidden="false" customHeight="false" outlineLevel="0" collapsed="false">
      <c r="A14" s="2" t="s">
        <v>121</v>
      </c>
      <c r="B14" s="2" t="s">
        <v>664</v>
      </c>
      <c r="C14" s="2" t="s">
        <v>665</v>
      </c>
      <c r="D14" s="2" t="s">
        <v>666</v>
      </c>
      <c r="E14" s="2" t="s">
        <v>19</v>
      </c>
      <c r="F14" s="2" t="s">
        <v>638</v>
      </c>
    </row>
    <row r="15" customFormat="false" ht="15" hidden="false" customHeight="false" outlineLevel="0" collapsed="false">
      <c r="A15" s="4" t="s">
        <v>121</v>
      </c>
      <c r="B15" s="4" t="s">
        <v>667</v>
      </c>
      <c r="C15" s="4" t="s">
        <v>668</v>
      </c>
      <c r="D15" s="4" t="s">
        <v>669</v>
      </c>
      <c r="E15" s="4" t="s">
        <v>19</v>
      </c>
      <c r="F15" s="4" t="s">
        <v>638</v>
      </c>
    </row>
    <row r="16" customFormat="false" ht="15" hidden="false" customHeight="false" outlineLevel="0" collapsed="false">
      <c r="A16" s="2" t="s">
        <v>501</v>
      </c>
      <c r="B16" s="2" t="s">
        <v>670</v>
      </c>
      <c r="C16" s="2" t="s">
        <v>671</v>
      </c>
      <c r="D16" s="2" t="s">
        <v>672</v>
      </c>
      <c r="E16" s="2" t="s">
        <v>627</v>
      </c>
      <c r="F16" s="2" t="s">
        <v>628</v>
      </c>
    </row>
    <row r="17" customFormat="false" ht="23.85" hidden="false" customHeight="false" outlineLevel="0" collapsed="false">
      <c r="A17" s="4" t="s">
        <v>501</v>
      </c>
      <c r="B17" s="4" t="s">
        <v>673</v>
      </c>
      <c r="C17" s="4" t="s">
        <v>674</v>
      </c>
      <c r="D17" s="4" t="s">
        <v>675</v>
      </c>
      <c r="E17" s="4" t="s">
        <v>19</v>
      </c>
      <c r="F17" s="4" t="s">
        <v>628</v>
      </c>
    </row>
    <row r="18" customFormat="false" ht="15" hidden="false" customHeight="false" outlineLevel="0" collapsed="false">
      <c r="A18" s="2" t="s">
        <v>501</v>
      </c>
      <c r="B18" s="2" t="s">
        <v>222</v>
      </c>
      <c r="C18" s="2" t="s">
        <v>676</v>
      </c>
      <c r="D18" s="2" t="s">
        <v>677</v>
      </c>
      <c r="E18" s="2" t="s">
        <v>19</v>
      </c>
      <c r="F18" s="2" t="s">
        <v>638</v>
      </c>
    </row>
    <row r="19" customFormat="false" ht="15" hidden="false" customHeight="false" outlineLevel="0" collapsed="false">
      <c r="A19" s="4" t="s">
        <v>314</v>
      </c>
      <c r="B19" s="4" t="s">
        <v>678</v>
      </c>
      <c r="C19" s="4" t="s">
        <v>679</v>
      </c>
      <c r="D19" s="4" t="s">
        <v>680</v>
      </c>
      <c r="E19" s="4" t="s">
        <v>627</v>
      </c>
      <c r="F19" s="4" t="s">
        <v>628</v>
      </c>
    </row>
    <row r="20" customFormat="false" ht="15" hidden="false" customHeight="false" outlineLevel="0" collapsed="false">
      <c r="A20" s="2" t="s">
        <v>314</v>
      </c>
      <c r="B20" s="2" t="s">
        <v>681</v>
      </c>
      <c r="C20" s="2" t="s">
        <v>682</v>
      </c>
      <c r="D20" s="2" t="s">
        <v>683</v>
      </c>
      <c r="E20" s="2" t="s">
        <v>19</v>
      </c>
      <c r="F20" s="2" t="s">
        <v>628</v>
      </c>
    </row>
    <row r="21" customFormat="false" ht="15" hidden="false" customHeight="false" outlineLevel="0" collapsed="false">
      <c r="A21" s="4" t="s">
        <v>233</v>
      </c>
      <c r="B21" s="4" t="s">
        <v>684</v>
      </c>
      <c r="C21" s="4" t="s">
        <v>685</v>
      </c>
      <c r="D21" s="4" t="s">
        <v>686</v>
      </c>
      <c r="E21" s="4" t="s">
        <v>627</v>
      </c>
      <c r="F21" s="4" t="s">
        <v>628</v>
      </c>
    </row>
    <row r="22" customFormat="false" ht="15" hidden="false" customHeight="false" outlineLevel="0" collapsed="false">
      <c r="A22" s="2" t="s">
        <v>233</v>
      </c>
      <c r="B22" s="2" t="s">
        <v>274</v>
      </c>
      <c r="C22" s="2" t="s">
        <v>687</v>
      </c>
      <c r="D22" s="2" t="s">
        <v>688</v>
      </c>
      <c r="E22" s="2" t="s">
        <v>19</v>
      </c>
      <c r="F22" s="2" t="s">
        <v>628</v>
      </c>
    </row>
    <row r="23" customFormat="false" ht="15" hidden="false" customHeight="false" outlineLevel="0" collapsed="false">
      <c r="A23" s="4" t="s">
        <v>292</v>
      </c>
      <c r="B23" s="4" t="s">
        <v>689</v>
      </c>
      <c r="C23" s="4" t="s">
        <v>690</v>
      </c>
      <c r="D23" s="4" t="s">
        <v>691</v>
      </c>
      <c r="E23" s="4" t="s">
        <v>627</v>
      </c>
      <c r="F23" s="4" t="s">
        <v>628</v>
      </c>
    </row>
    <row r="24" customFormat="false" ht="15" hidden="false" customHeight="false" outlineLevel="0" collapsed="false">
      <c r="A24" s="2" t="s">
        <v>292</v>
      </c>
      <c r="B24" s="2" t="s">
        <v>301</v>
      </c>
      <c r="C24" s="2" t="s">
        <v>692</v>
      </c>
      <c r="D24" s="2" t="s">
        <v>693</v>
      </c>
      <c r="E24" s="2" t="s">
        <v>19</v>
      </c>
      <c r="F24" s="2" t="s">
        <v>628</v>
      </c>
    </row>
    <row r="25" customFormat="false" ht="15" hidden="false" customHeight="false" outlineLevel="0" collapsed="false">
      <c r="A25" s="4" t="s">
        <v>292</v>
      </c>
      <c r="B25" s="4" t="s">
        <v>694</v>
      </c>
      <c r="C25" s="4" t="s">
        <v>695</v>
      </c>
      <c r="D25" s="4" t="s">
        <v>696</v>
      </c>
      <c r="E25" s="4" t="s">
        <v>627</v>
      </c>
      <c r="F25" s="4" t="s">
        <v>628</v>
      </c>
    </row>
    <row r="26" customFormat="false" ht="15" hidden="false" customHeight="false" outlineLevel="0" collapsed="false">
      <c r="A26" s="2" t="s">
        <v>292</v>
      </c>
      <c r="B26" s="2" t="s">
        <v>697</v>
      </c>
      <c r="C26" s="2" t="s">
        <v>698</v>
      </c>
      <c r="D26" s="2" t="s">
        <v>699</v>
      </c>
      <c r="E26" s="2" t="s">
        <v>19</v>
      </c>
      <c r="F26" s="2" t="s">
        <v>638</v>
      </c>
    </row>
    <row r="27" customFormat="false" ht="15" hidden="false" customHeight="false" outlineLevel="0" collapsed="false">
      <c r="A27" s="4" t="s">
        <v>357</v>
      </c>
      <c r="B27" s="4" t="s">
        <v>358</v>
      </c>
      <c r="C27" s="4" t="s">
        <v>700</v>
      </c>
      <c r="D27" s="4" t="s">
        <v>701</v>
      </c>
      <c r="E27" s="4" t="s">
        <v>201</v>
      </c>
      <c r="F27" s="4" t="s">
        <v>628</v>
      </c>
    </row>
    <row r="28" customFormat="false" ht="15" hidden="false" customHeight="false" outlineLevel="0" collapsed="false">
      <c r="A28" s="2" t="s">
        <v>357</v>
      </c>
      <c r="B28" s="2" t="s">
        <v>365</v>
      </c>
      <c r="C28" s="2" t="s">
        <v>702</v>
      </c>
      <c r="D28" s="2" t="s">
        <v>703</v>
      </c>
      <c r="E28" s="2" t="s">
        <v>19</v>
      </c>
      <c r="F28" s="2" t="s">
        <v>628</v>
      </c>
    </row>
    <row r="29" customFormat="false" ht="15" hidden="false" customHeight="false" outlineLevel="0" collapsed="false">
      <c r="A29" s="4" t="s">
        <v>357</v>
      </c>
      <c r="B29" s="4" t="s">
        <v>704</v>
      </c>
      <c r="C29" s="4" t="s">
        <v>705</v>
      </c>
      <c r="D29" s="4" t="s">
        <v>706</v>
      </c>
      <c r="E29" s="4" t="s">
        <v>19</v>
      </c>
      <c r="F29" s="4" t="s">
        <v>628</v>
      </c>
    </row>
    <row r="30" customFormat="false" ht="15" hidden="false" customHeight="false" outlineLevel="0" collapsed="false">
      <c r="A30" s="2" t="s">
        <v>341</v>
      </c>
      <c r="B30" s="2" t="s">
        <v>707</v>
      </c>
      <c r="C30" s="2" t="s">
        <v>708</v>
      </c>
      <c r="D30" s="2" t="s">
        <v>709</v>
      </c>
      <c r="E30" s="2" t="s">
        <v>19</v>
      </c>
      <c r="F30" s="2" t="s">
        <v>638</v>
      </c>
    </row>
    <row r="31" customFormat="false" ht="15" hidden="false" customHeight="false" outlineLevel="0" collapsed="false">
      <c r="A31" s="4" t="s">
        <v>341</v>
      </c>
      <c r="B31" s="4" t="s">
        <v>710</v>
      </c>
      <c r="C31" s="4" t="s">
        <v>711</v>
      </c>
      <c r="D31" s="4" t="s">
        <v>712</v>
      </c>
      <c r="E31" s="4" t="s">
        <v>19</v>
      </c>
      <c r="F31" s="4" t="s">
        <v>638</v>
      </c>
    </row>
    <row r="32" customFormat="false" ht="15" hidden="false" customHeight="false" outlineLevel="0" collapsed="false">
      <c r="A32" s="2" t="s">
        <v>267</v>
      </c>
      <c r="B32" s="2" t="s">
        <v>713</v>
      </c>
      <c r="C32" s="2" t="s">
        <v>714</v>
      </c>
      <c r="D32" s="2" t="s">
        <v>715</v>
      </c>
      <c r="E32" s="2" t="s">
        <v>627</v>
      </c>
      <c r="F32" s="2" t="s">
        <v>628</v>
      </c>
    </row>
    <row r="33" customFormat="false" ht="15" hidden="false" customHeight="false" outlineLevel="0" collapsed="false">
      <c r="A33" s="4" t="s">
        <v>267</v>
      </c>
      <c r="B33" s="4" t="s">
        <v>280</v>
      </c>
      <c r="C33" s="4" t="s">
        <v>716</v>
      </c>
      <c r="D33" s="4" t="s">
        <v>717</v>
      </c>
      <c r="E33" s="4" t="s">
        <v>19</v>
      </c>
      <c r="F33" s="4" t="s">
        <v>628</v>
      </c>
    </row>
    <row r="34" customFormat="false" ht="15" hidden="false" customHeight="false" outlineLevel="0" collapsed="false">
      <c r="A34" s="2" t="s">
        <v>267</v>
      </c>
      <c r="B34" s="2" t="s">
        <v>718</v>
      </c>
      <c r="C34" s="2" t="s">
        <v>719</v>
      </c>
      <c r="D34" s="2" t="s">
        <v>720</v>
      </c>
      <c r="E34" s="2" t="s">
        <v>19</v>
      </c>
      <c r="F34" s="2" t="s">
        <v>638</v>
      </c>
    </row>
    <row r="35" customFormat="false" ht="15" hidden="false" customHeight="false" outlineLevel="0" collapsed="false">
      <c r="A35" s="4" t="s">
        <v>91</v>
      </c>
      <c r="B35" s="4" t="s">
        <v>721</v>
      </c>
      <c r="C35" s="4" t="s">
        <v>722</v>
      </c>
      <c r="D35" s="4" t="s">
        <v>723</v>
      </c>
      <c r="E35" s="4" t="s">
        <v>19</v>
      </c>
      <c r="F35" s="4" t="s">
        <v>628</v>
      </c>
    </row>
    <row r="36" customFormat="false" ht="15" hidden="false" customHeight="false" outlineLevel="0" collapsed="false">
      <c r="A36" s="2" t="s">
        <v>91</v>
      </c>
      <c r="B36" s="2" t="s">
        <v>724</v>
      </c>
      <c r="C36" s="2" t="s">
        <v>725</v>
      </c>
      <c r="D36" s="2" t="s">
        <v>726</v>
      </c>
      <c r="E36" s="2" t="s">
        <v>19</v>
      </c>
      <c r="F36" s="2" t="s">
        <v>628</v>
      </c>
    </row>
  </sheetData>
  <autoFilter ref="A1:F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9" t="s">
        <v>727</v>
      </c>
      <c r="B1" s="9" t="s">
        <v>728</v>
      </c>
    </row>
    <row r="2" customFormat="false" ht="15" hidden="false" customHeight="false" outlineLevel="0" collapsed="false">
      <c r="A2" s="10" t="s">
        <v>729</v>
      </c>
      <c r="B2" s="11" t="n">
        <f aca="false">COUNTA('Therapy Pipeline'!A2:A200)</f>
        <v>57</v>
      </c>
    </row>
    <row r="3" customFormat="false" ht="15" hidden="false" customHeight="false" outlineLevel="0" collapsed="false">
      <c r="A3" s="10" t="s">
        <v>730</v>
      </c>
      <c r="B3" s="11" t="n">
        <f aca="false">COUNTIF('Therapy Pipeline'!A:A,"T1D")</f>
        <v>19</v>
      </c>
    </row>
    <row r="4" customFormat="false" ht="15" hidden="false" customHeight="false" outlineLevel="0" collapsed="false">
      <c r="A4" s="10" t="s">
        <v>731</v>
      </c>
      <c r="B4" s="11" t="n">
        <f aca="false">COUNTIF('Therapy Pipeline'!A:A,"T2D")</f>
        <v>13</v>
      </c>
    </row>
    <row r="5" customFormat="false" ht="15" hidden="false" customHeight="false" outlineLevel="0" collapsed="false">
      <c r="A5" s="10" t="s">
        <v>732</v>
      </c>
      <c r="B5" s="11" t="n">
        <f aca="false">COUNTIF('Therapy Pipeline'!A:A,"Cross")</f>
        <v>2</v>
      </c>
    </row>
    <row r="6" customFormat="false" ht="15" hidden="false" customHeight="false" outlineLevel="0" collapsed="false">
      <c r="A6" s="10" t="s">
        <v>733</v>
      </c>
      <c r="B6" s="11" t="n">
        <f aca="false">COUNTIF('Therapy Pipeline'!A:A,"Biomarkers")</f>
        <v>5</v>
      </c>
    </row>
    <row r="7" customFormat="false" ht="15" hidden="false" customHeight="false" outlineLevel="0" collapsed="false">
      <c r="A7" s="10" t="s">
        <v>734</v>
      </c>
      <c r="B7" s="11" t="n">
        <f aca="false">COUNTIF('Therapy Pipeline'!A:A,"AI/ML")</f>
        <v>4</v>
      </c>
    </row>
    <row r="8" customFormat="false" ht="15" hidden="false" customHeight="false" outlineLevel="0" collapsed="false">
      <c r="A8" s="10" t="s">
        <v>735</v>
      </c>
      <c r="B8" s="11" t="n">
        <f aca="false">COUNTIF('Therapy Pipeline'!A:A,"Complications")</f>
        <v>3</v>
      </c>
    </row>
    <row r="9" customFormat="false" ht="15" hidden="false" customHeight="false" outlineLevel="0" collapsed="false">
      <c r="A9" s="10" t="s">
        <v>736</v>
      </c>
      <c r="B9" s="11" t="n">
        <f aca="false">COUNTIF('Therapy Pipeline'!A:A,"Microbiome")</f>
        <v>4</v>
      </c>
    </row>
    <row r="10" customFormat="false" ht="15" hidden="false" customHeight="false" outlineLevel="0" collapsed="false">
      <c r="A10" s="10" t="s">
        <v>737</v>
      </c>
      <c r="B10" s="11" t="n">
        <f aca="false">COUNTIF('Therapy Pipeline'!A:A,"Subtypes")</f>
        <v>3</v>
      </c>
    </row>
    <row r="11" customFormat="false" ht="15" hidden="false" customHeight="false" outlineLevel="0" collapsed="false">
      <c r="A11" s="10" t="s">
        <v>738</v>
      </c>
      <c r="B11" s="11" t="n">
        <f aca="false">COUNTIF('Therapy Pipeline'!A:A,"Epidemiology")</f>
        <v>4</v>
      </c>
    </row>
    <row r="12" customFormat="false" ht="15" hidden="false" customHeight="false" outlineLevel="0" collapsed="false">
      <c r="A12" s="10" t="s">
        <v>739</v>
      </c>
      <c r="B12" s="11" t="n">
        <f aca="false">COUNTIF('Therapy Pipeline'!F:F,"Phase 3")</f>
        <v>10</v>
      </c>
    </row>
    <row r="13" customFormat="false" ht="15" hidden="false" customHeight="false" outlineLevel="0" collapsed="false">
      <c r="A13" s="10" t="s">
        <v>740</v>
      </c>
      <c r="B13" s="11" t="n">
        <f aca="false">COUNTIF('Therapy Pipeline'!F:F,"Approved")</f>
        <v>3</v>
      </c>
    </row>
    <row r="14" customFormat="false" ht="15" hidden="false" customHeight="false" outlineLevel="0" collapsed="false">
      <c r="A14" s="10" t="s">
        <v>741</v>
      </c>
      <c r="B14" s="11" t="n">
        <f aca="false">COUNTA('Paper Tracker'!A2:A200)</f>
        <v>25</v>
      </c>
    </row>
    <row r="15" customFormat="false" ht="15" hidden="false" customHeight="false" outlineLevel="0" collapsed="false">
      <c r="A15" s="10" t="s">
        <v>742</v>
      </c>
      <c r="B15" s="11" t="n">
        <f aca="false">COUNTA('Datasets &amp; Resources'!A2:A200)</f>
        <v>22</v>
      </c>
    </row>
    <row r="16" customFormat="false" ht="15" hidden="false" customHeight="false" outlineLevel="0" collapsed="false">
      <c r="A16" s="10" t="s">
        <v>743</v>
      </c>
      <c r="B16" s="11" t="n">
        <f aca="false">COUNTA('Research Domains'!A2:A200)</f>
        <v>35</v>
      </c>
    </row>
    <row r="17" customFormat="false" ht="15" hidden="false" customHeight="false" outlineLevel="0" collapsed="false">
      <c r="A17" s="10" t="s">
        <v>744</v>
      </c>
      <c r="B17" s="11" t="n">
        <f aca="false">COUNTIF('Research Domains'!F:F,"High")</f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2026-03-15T04:06:49Z</dcterms:created>
  <dc:creator>openpyxl</dc:creator>
  <dc:description/>
  <dc:language>en-US</dc:language>
  <cp:lastModifiedBy/>
  <dcterms:modified xsi:type="dcterms:W3CDTF">2026-03-15T04:06:49Z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